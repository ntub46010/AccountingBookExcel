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-12" yWindow="3744" windowWidth="17304" windowHeight="3672" activeTab="3"/>
  </bookViews>
  <sheets>
    <sheet name="會計科目表" sheetId="1" r:id="rId1"/>
    <sheet name="日記簿" sheetId="24" r:id="rId2"/>
    <sheet name="分類帳" sheetId="3" r:id="rId3"/>
    <sheet name="工作底稿" sheetId="4" r:id="rId4"/>
    <sheet name="201609" sheetId="27" r:id="rId5"/>
  </sheets>
  <functionGroups builtInGroupCount="17"/>
  <definedNames>
    <definedName name="現有科目">會計科目表!$E$6:$F$1048576</definedName>
  </definedNames>
  <calcPr calcId="144525"/>
</workbook>
</file>

<file path=xl/calcChain.xml><?xml version="1.0" encoding="utf-8"?>
<calcChain xmlns="http://schemas.openxmlformats.org/spreadsheetml/2006/main">
  <c r="R30" i="4" l="1"/>
  <c r="N47" i="4"/>
  <c r="M47" i="4"/>
  <c r="L47" i="4"/>
  <c r="K47" i="4"/>
  <c r="J47" i="4"/>
  <c r="I47" i="4"/>
  <c r="H47" i="4"/>
  <c r="G47" i="4"/>
  <c r="P88" i="24" l="1"/>
  <c r="P12" i="24" l="1"/>
  <c r="N47" i="27"/>
  <c r="M47" i="27"/>
  <c r="L47" i="27"/>
  <c r="K47" i="27"/>
  <c r="J47" i="27"/>
  <c r="I47" i="27"/>
  <c r="H47" i="27"/>
  <c r="G47" i="27"/>
  <c r="G117" i="24" l="1"/>
  <c r="G61" i="24" l="1"/>
  <c r="G77" i="24" l="1"/>
  <c r="G17" i="1" l="1"/>
  <c r="G15" i="1"/>
  <c r="H19" i="1" l="1"/>
  <c r="H22" i="1"/>
  <c r="H24" i="1"/>
  <c r="H23" i="1"/>
  <c r="H20" i="1"/>
  <c r="G8" i="1" l="1"/>
  <c r="G12" i="1"/>
  <c r="G11" i="1"/>
  <c r="M13" i="1" l="1"/>
  <c r="G9" i="24" l="1"/>
  <c r="Q9" i="24"/>
  <c r="BJ9" i="24"/>
  <c r="BS9" i="24"/>
  <c r="CK9" i="24"/>
  <c r="CT9" i="24"/>
  <c r="DC9" i="24"/>
  <c r="BR9" i="24"/>
  <c r="BI9" i="24"/>
  <c r="Z9" i="24"/>
  <c r="DB9" i="24"/>
  <c r="CB9" i="24"/>
  <c r="CJ9" i="24"/>
  <c r="P9" i="24"/>
  <c r="H9" i="24"/>
  <c r="CA9" i="24"/>
  <c r="AI9" i="24"/>
  <c r="CS9" i="24"/>
  <c r="AZ9" i="24" l="1"/>
  <c r="AH9" i="24"/>
  <c r="Y9" i="24"/>
  <c r="AR9" i="24"/>
  <c r="BA9" i="24"/>
  <c r="AQ9" i="24"/>
</calcChain>
</file>

<file path=xl/sharedStrings.xml><?xml version="1.0" encoding="utf-8"?>
<sst xmlns="http://schemas.openxmlformats.org/spreadsheetml/2006/main" count="668" uniqueCount="271">
  <si>
    <t>科目編號</t>
    <phoneticPr fontId="1" type="noConversion"/>
  </si>
  <si>
    <t>科目名稱</t>
    <phoneticPr fontId="1" type="noConversion"/>
  </si>
  <si>
    <t>借方</t>
    <phoneticPr fontId="1" type="noConversion"/>
  </si>
  <si>
    <t>貸方</t>
    <phoneticPr fontId="1" type="noConversion"/>
  </si>
  <si>
    <t>初始餘額</t>
    <phoneticPr fontId="1" type="noConversion"/>
  </si>
  <si>
    <t>新增科目</t>
    <phoneticPr fontId="1" type="noConversion"/>
  </si>
  <si>
    <t>科目編號</t>
    <phoneticPr fontId="1" type="noConversion"/>
  </si>
  <si>
    <t>科目名稱</t>
    <phoneticPr fontId="1" type="noConversion"/>
  </si>
  <si>
    <t>初始餘額</t>
    <phoneticPr fontId="1" type="noConversion"/>
  </si>
  <si>
    <t>借方</t>
    <phoneticPr fontId="1" type="noConversion"/>
  </si>
  <si>
    <t>貸方</t>
    <phoneticPr fontId="1" type="noConversion"/>
  </si>
  <si>
    <t>刪除科目</t>
    <phoneticPr fontId="1" type="noConversion"/>
  </si>
  <si>
    <t>科目編號</t>
    <phoneticPr fontId="1" type="noConversion"/>
  </si>
  <si>
    <t>科目名稱</t>
    <phoneticPr fontId="1" type="noConversion"/>
  </si>
  <si>
    <t>▲</t>
  </si>
  <si>
    <t>查看科目</t>
    <phoneticPr fontId="1" type="noConversion"/>
  </si>
  <si>
    <t>科目名稱</t>
    <phoneticPr fontId="1" type="noConversion"/>
  </si>
  <si>
    <t>當前餘額</t>
    <phoneticPr fontId="1" type="noConversion"/>
  </si>
  <si>
    <t>起始月份</t>
    <phoneticPr fontId="1" type="noConversion"/>
  </si>
  <si>
    <t>日期</t>
    <phoneticPr fontId="1" type="noConversion"/>
  </si>
  <si>
    <t>月</t>
    <phoneticPr fontId="1" type="noConversion"/>
  </si>
  <si>
    <t>日</t>
    <phoneticPr fontId="1" type="noConversion"/>
  </si>
  <si>
    <t>借方金額</t>
    <phoneticPr fontId="1" type="noConversion"/>
  </si>
  <si>
    <t>貸方金額</t>
    <phoneticPr fontId="1" type="noConversion"/>
  </si>
  <si>
    <t>餘額</t>
    <phoneticPr fontId="1" type="noConversion"/>
  </si>
  <si>
    <t>科目編號</t>
    <phoneticPr fontId="1" type="noConversion"/>
  </si>
  <si>
    <t>科目名稱</t>
    <phoneticPr fontId="1" type="noConversion"/>
  </si>
  <si>
    <t>綜合損益表</t>
    <phoneticPr fontId="1" type="noConversion"/>
  </si>
  <si>
    <t>資產負債表</t>
    <phoneticPr fontId="1" type="noConversion"/>
  </si>
  <si>
    <t xml:space="preserve">  借方  </t>
    <phoneticPr fontId="1" type="noConversion"/>
  </si>
  <si>
    <t xml:space="preserve">  貸方  </t>
    <phoneticPr fontId="1" type="noConversion"/>
  </si>
  <si>
    <t>總額試算表</t>
    <phoneticPr fontId="1" type="noConversion"/>
  </si>
  <si>
    <t>餘額試算表</t>
    <phoneticPr fontId="1" type="noConversion"/>
  </si>
  <si>
    <t>合計</t>
  </si>
  <si>
    <t>現金－錢包</t>
  </si>
  <si>
    <t>現金－存錢筒</t>
  </si>
  <si>
    <t>應收款項</t>
  </si>
  <si>
    <t>應付款項</t>
  </si>
  <si>
    <t>零用錢收入</t>
  </si>
  <si>
    <t>現金多溢</t>
  </si>
  <si>
    <t>伙食費</t>
  </si>
  <si>
    <t>學校費用</t>
  </si>
  <si>
    <t>現金短少</t>
  </si>
  <si>
    <t>日常用品</t>
  </si>
  <si>
    <t>應收款項</t>
    <phoneticPr fontId="1" type="noConversion"/>
  </si>
  <si>
    <t>其他費損</t>
  </si>
  <si>
    <t>交通費－通勤</t>
    <phoneticPr fontId="1" type="noConversion"/>
  </si>
  <si>
    <t>交通費－其他</t>
  </si>
  <si>
    <t>　　現金－錢包</t>
  </si>
  <si>
    <t>　　現金－存錢筒</t>
  </si>
  <si>
    <t>　　應收款項</t>
  </si>
  <si>
    <t>　　應付款項</t>
  </si>
  <si>
    <t>聚餐費</t>
  </si>
  <si>
    <t>雜項帳戶(學日短其)</t>
  </si>
  <si>
    <t>儲蓄帳戶</t>
  </si>
  <si>
    <t>　　儲蓄帳戶</t>
  </si>
  <si>
    <t>交通費帳戶</t>
  </si>
  <si>
    <t>　　交通費帳戶</t>
  </si>
  <si>
    <t>備抵收益</t>
  </si>
  <si>
    <t>備抵費損</t>
  </si>
  <si>
    <t>保留盈餘</t>
  </si>
  <si>
    <t>　　保留盈餘</t>
  </si>
  <si>
    <t>獎金收入</t>
  </si>
  <si>
    <t>儲蓄帳戶</t>
    <phoneticPr fontId="1" type="noConversion"/>
  </si>
  <si>
    <t>本期損益</t>
  </si>
  <si>
    <t>　　</t>
  </si>
  <si>
    <t>現金－儲蓄</t>
  </si>
  <si>
    <t>　　現金－儲蓄</t>
  </si>
  <si>
    <t>郵局存款</t>
  </si>
  <si>
    <t>　　郵局存款</t>
  </si>
  <si>
    <t>支付寶存款</t>
  </si>
  <si>
    <t>　　支付寶存款</t>
  </si>
  <si>
    <t>預付款項－悠遊卡</t>
  </si>
  <si>
    <t>預付款項－悠遊卡</t>
    <phoneticPr fontId="1" type="noConversion"/>
  </si>
  <si>
    <t>預付款項－車票</t>
  </si>
  <si>
    <t>　　預付款項－悠遊卡</t>
  </si>
  <si>
    <t>　　預付款項－車票</t>
  </si>
  <si>
    <t>預付款項－禮券</t>
  </si>
  <si>
    <t>　　預付款項－禮券</t>
  </si>
  <si>
    <t>網賺資產－ＭＩＳ</t>
  </si>
  <si>
    <t>網賺資產－ＡＰＰ</t>
  </si>
  <si>
    <t>網賺資產－ＭＩＳ</t>
    <phoneticPr fontId="1" type="noConversion"/>
  </si>
  <si>
    <t>　　網賺資產－ＭＩＳ</t>
  </si>
  <si>
    <t>　　網賺資產－ＡＰＰ</t>
  </si>
  <si>
    <t>低流動帳戶</t>
  </si>
  <si>
    <t>投資成本</t>
  </si>
  <si>
    <t>　　投資成本</t>
  </si>
  <si>
    <t>　　低流動帳戶</t>
  </si>
  <si>
    <t>低流動帳戶</t>
    <phoneticPr fontId="1" type="noConversion"/>
  </si>
  <si>
    <t>保留盈餘</t>
    <phoneticPr fontId="1" type="noConversion"/>
  </si>
  <si>
    <t>速動帳戶</t>
  </si>
  <si>
    <t>　　速動帳戶</t>
  </si>
  <si>
    <t>工讀薪資</t>
    <phoneticPr fontId="1" type="noConversion"/>
  </si>
  <si>
    <t>利息收入</t>
    <phoneticPr fontId="1" type="noConversion"/>
  </si>
  <si>
    <t>其他收益</t>
  </si>
  <si>
    <t>交通資助</t>
    <phoneticPr fontId="1" type="noConversion"/>
  </si>
  <si>
    <t>投資中帳戶</t>
  </si>
  <si>
    <t>　　投資中帳戶</t>
  </si>
  <si>
    <t>投資成本</t>
    <phoneticPr fontId="1" type="noConversion"/>
  </si>
  <si>
    <t>″</t>
    <phoneticPr fontId="1" type="noConversion"/>
  </si>
  <si>
    <t>合計</t>
    <phoneticPr fontId="1" type="noConversion"/>
  </si>
  <si>
    <t>-</t>
    <phoneticPr fontId="1" type="noConversion"/>
  </si>
  <si>
    <t>合計</t>
    <phoneticPr fontId="1" type="noConversion"/>
  </si>
  <si>
    <t>日</t>
    <phoneticPr fontId="1" type="noConversion"/>
  </si>
  <si>
    <t>月</t>
    <phoneticPr fontId="1" type="noConversion"/>
  </si>
  <si>
    <t>摘要</t>
    <phoneticPr fontId="1" type="noConversion"/>
  </si>
  <si>
    <t>貸方金額</t>
    <phoneticPr fontId="1" type="noConversion"/>
  </si>
  <si>
    <t>借方金額</t>
    <phoneticPr fontId="1" type="noConversion"/>
  </si>
  <si>
    <t>會計科目</t>
    <phoneticPr fontId="1" type="noConversion"/>
  </si>
  <si>
    <t>第12頁</t>
    <phoneticPr fontId="1" type="noConversion"/>
  </si>
  <si>
    <t>摘要</t>
    <phoneticPr fontId="1" type="noConversion"/>
  </si>
  <si>
    <t>貸方金額</t>
    <phoneticPr fontId="1" type="noConversion"/>
  </si>
  <si>
    <t>第11頁</t>
    <phoneticPr fontId="1" type="noConversion"/>
  </si>
  <si>
    <t>第10頁</t>
    <phoneticPr fontId="1" type="noConversion"/>
  </si>
  <si>
    <t>第9頁</t>
    <phoneticPr fontId="1" type="noConversion"/>
  </si>
  <si>
    <t>第8頁</t>
    <phoneticPr fontId="1" type="noConversion"/>
  </si>
  <si>
    <t>第7頁</t>
    <phoneticPr fontId="1" type="noConversion"/>
  </si>
  <si>
    <t>第6頁</t>
    <phoneticPr fontId="1" type="noConversion"/>
  </si>
  <si>
    <t>第5頁</t>
    <phoneticPr fontId="1" type="noConversion"/>
  </si>
  <si>
    <t>第4頁</t>
    <phoneticPr fontId="1" type="noConversion"/>
  </si>
  <si>
    <t>第3頁</t>
    <phoneticPr fontId="1" type="noConversion"/>
  </si>
  <si>
    <t>第2頁</t>
    <phoneticPr fontId="1" type="noConversion"/>
  </si>
  <si>
    <t>第1頁</t>
    <phoneticPr fontId="1" type="noConversion"/>
  </si>
  <si>
    <t>　　備抵費損</t>
    <phoneticPr fontId="1" type="noConversion"/>
  </si>
  <si>
    <t>伙食費</t>
    <phoneticPr fontId="1" type="noConversion"/>
  </si>
  <si>
    <t>交通費－通勤</t>
  </si>
  <si>
    <t>交通費－通勤</t>
    <phoneticPr fontId="1" type="noConversion"/>
  </si>
  <si>
    <t>伙食費</t>
    <phoneticPr fontId="1" type="noConversion"/>
  </si>
  <si>
    <t>　　現金－錢包</t>
    <phoneticPr fontId="1" type="noConversion"/>
  </si>
  <si>
    <t>應收款項</t>
    <phoneticPr fontId="1" type="noConversion"/>
  </si>
  <si>
    <t>其他費損</t>
    <phoneticPr fontId="1" type="noConversion"/>
  </si>
  <si>
    <t>　　網賺資產－ＭＩＳ</t>
    <phoneticPr fontId="1" type="noConversion"/>
  </si>
  <si>
    <t>交通費帳戶</t>
    <phoneticPr fontId="1" type="noConversion"/>
  </si>
  <si>
    <t>保留盈餘</t>
    <phoneticPr fontId="1" type="noConversion"/>
  </si>
  <si>
    <t>　　備抵費損</t>
    <phoneticPr fontId="1" type="noConversion"/>
  </si>
  <si>
    <t>投資中帳戶</t>
    <phoneticPr fontId="1" type="noConversion"/>
  </si>
  <si>
    <t>　　速動帳戶</t>
    <phoneticPr fontId="1" type="noConversion"/>
  </si>
  <si>
    <t>郵局存款</t>
    <phoneticPr fontId="1" type="noConversion"/>
  </si>
  <si>
    <t>　　應收款項</t>
    <phoneticPr fontId="1" type="noConversion"/>
  </si>
  <si>
    <t>速動帳戶</t>
    <phoneticPr fontId="1" type="noConversion"/>
  </si>
  <si>
    <t>　　儲蓄帳戶</t>
    <phoneticPr fontId="1" type="noConversion"/>
  </si>
  <si>
    <t>　　備抵收益</t>
  </si>
  <si>
    <t>　　備抵費損</t>
  </si>
  <si>
    <t>　　零用錢收入</t>
  </si>
  <si>
    <t>工讀薪資</t>
  </si>
  <si>
    <t>　　工讀薪資</t>
  </si>
  <si>
    <t>交通資助</t>
  </si>
  <si>
    <t>　　交通資助</t>
  </si>
  <si>
    <t>　　獎金收入</t>
  </si>
  <si>
    <t>利息收入</t>
  </si>
  <si>
    <t>　　利息收入</t>
  </si>
  <si>
    <t>　　現金多溢</t>
  </si>
  <si>
    <t>　　其他收益</t>
  </si>
  <si>
    <t>　　伙食費</t>
  </si>
  <si>
    <t>　　聚餐費</t>
  </si>
  <si>
    <t>　　交通費－通勤</t>
  </si>
  <si>
    <t>　　交通費－其他</t>
  </si>
  <si>
    <t>　　學校費用</t>
  </si>
  <si>
    <t>　　日常用品</t>
  </si>
  <si>
    <t>　　現金短少</t>
  </si>
  <si>
    <t>副食費</t>
  </si>
  <si>
    <t>　　副食費</t>
  </si>
  <si>
    <t>　　其他費損</t>
    <phoneticPr fontId="1" type="noConversion"/>
  </si>
  <si>
    <t>　　預付款項－車票</t>
    <phoneticPr fontId="1" type="noConversion"/>
  </si>
  <si>
    <t>副食費</t>
    <phoneticPr fontId="1" type="noConversion"/>
  </si>
  <si>
    <t>　　現金－錢包</t>
    <phoneticPr fontId="1" type="noConversion"/>
  </si>
  <si>
    <t>現金－錢包</t>
    <phoneticPr fontId="1" type="noConversion"/>
  </si>
  <si>
    <t>　　零用錢收入</t>
    <phoneticPr fontId="1" type="noConversion"/>
  </si>
  <si>
    <t>備抵收益</t>
    <phoneticPr fontId="1" type="noConversion"/>
  </si>
  <si>
    <t>　　保留盈餘</t>
    <phoneticPr fontId="1" type="noConversion"/>
  </si>
  <si>
    <t>網賺資產－ＭＩＳ</t>
    <phoneticPr fontId="1" type="noConversion"/>
  </si>
  <si>
    <t>　　投資成本</t>
    <phoneticPr fontId="1" type="noConversion"/>
  </si>
  <si>
    <t>-</t>
  </si>
  <si>
    <t>　　應付款項</t>
    <phoneticPr fontId="1" type="noConversion"/>
  </si>
  <si>
    <t>交通費帳戶</t>
    <phoneticPr fontId="1" type="noConversion"/>
  </si>
  <si>
    <t>保留盈餘</t>
    <phoneticPr fontId="1" type="noConversion"/>
  </si>
  <si>
    <t>　　備抵費損</t>
    <phoneticPr fontId="1" type="noConversion"/>
  </si>
  <si>
    <t>　　速動帳戶</t>
    <phoneticPr fontId="1" type="noConversion"/>
  </si>
  <si>
    <t>伙食費</t>
    <phoneticPr fontId="1" type="noConversion"/>
  </si>
  <si>
    <t>　　現金－錢包</t>
    <phoneticPr fontId="1" type="noConversion"/>
  </si>
  <si>
    <t>交通費－其他</t>
    <phoneticPr fontId="1" type="noConversion"/>
  </si>
  <si>
    <t>　　預付款項－車票</t>
    <phoneticPr fontId="1" type="noConversion"/>
  </si>
  <si>
    <t>　　預付款項－悠遊卡</t>
    <phoneticPr fontId="1" type="noConversion"/>
  </si>
  <si>
    <t>交通費－通勤</t>
    <phoneticPr fontId="1" type="noConversion"/>
  </si>
  <si>
    <t>　　預付款項－車票</t>
    <phoneticPr fontId="1" type="noConversion"/>
  </si>
  <si>
    <t>伙食費</t>
    <phoneticPr fontId="1" type="noConversion"/>
  </si>
  <si>
    <t>副食費</t>
    <phoneticPr fontId="1" type="noConversion"/>
  </si>
  <si>
    <t>預付款項－車票</t>
    <phoneticPr fontId="1" type="noConversion"/>
  </si>
  <si>
    <t>現金－錢包</t>
    <phoneticPr fontId="1" type="noConversion"/>
  </si>
  <si>
    <t>　　交通資助</t>
    <phoneticPr fontId="1" type="noConversion"/>
  </si>
  <si>
    <t>　　應付款項</t>
    <phoneticPr fontId="1" type="noConversion"/>
  </si>
  <si>
    <t>應付款項</t>
    <phoneticPr fontId="1" type="noConversion"/>
  </si>
  <si>
    <t>備抵收益</t>
    <phoneticPr fontId="1" type="noConversion"/>
  </si>
  <si>
    <t>　　交通費帳戶</t>
    <phoneticPr fontId="1" type="noConversion"/>
  </si>
  <si>
    <t>　　應付款項</t>
    <phoneticPr fontId="1" type="noConversion"/>
  </si>
  <si>
    <t>　　零用錢收入</t>
    <phoneticPr fontId="1" type="noConversion"/>
  </si>
  <si>
    <t>現金－儲蓄</t>
    <phoneticPr fontId="1" type="noConversion"/>
  </si>
  <si>
    <t>　　現金－錢包</t>
    <phoneticPr fontId="1" type="noConversion"/>
  </si>
  <si>
    <t>現金短少</t>
    <phoneticPr fontId="1" type="noConversion"/>
  </si>
  <si>
    <t>備抵收益</t>
    <phoneticPr fontId="1" type="noConversion"/>
  </si>
  <si>
    <t>　　保留盈餘</t>
    <phoneticPr fontId="1" type="noConversion"/>
  </si>
  <si>
    <t>　　儲蓄帳戶</t>
    <phoneticPr fontId="1" type="noConversion"/>
  </si>
  <si>
    <t>保留盈餘</t>
    <phoneticPr fontId="1" type="noConversion"/>
  </si>
  <si>
    <t>　　備抵費損</t>
    <phoneticPr fontId="1" type="noConversion"/>
  </si>
  <si>
    <t>網賺資產－ＭＩＳ</t>
    <phoneticPr fontId="1" type="noConversion"/>
  </si>
  <si>
    <t>　　投資成本</t>
    <phoneticPr fontId="1" type="noConversion"/>
  </si>
  <si>
    <t>交通費－通勤</t>
    <phoneticPr fontId="1" type="noConversion"/>
  </si>
  <si>
    <t>　　預付款項－車票</t>
    <phoneticPr fontId="1" type="noConversion"/>
  </si>
  <si>
    <t>伙食費</t>
    <phoneticPr fontId="1" type="noConversion"/>
  </si>
  <si>
    <t>　　現金－錢包</t>
    <phoneticPr fontId="1" type="noConversion"/>
  </si>
  <si>
    <t>交通費帳戶</t>
    <phoneticPr fontId="1" type="noConversion"/>
  </si>
  <si>
    <t>保留盈餘</t>
    <phoneticPr fontId="1" type="noConversion"/>
  </si>
  <si>
    <t>　　備抵費損</t>
    <phoneticPr fontId="1" type="noConversion"/>
  </si>
  <si>
    <t>應收款項</t>
    <phoneticPr fontId="1" type="noConversion"/>
  </si>
  <si>
    <t>　　現金－儲蓄</t>
    <phoneticPr fontId="1" type="noConversion"/>
  </si>
  <si>
    <t>儲蓄帳戶</t>
    <phoneticPr fontId="1" type="noConversion"/>
  </si>
  <si>
    <t>　　低流動帳戶</t>
    <phoneticPr fontId="1" type="noConversion"/>
  </si>
  <si>
    <t>交通費－通勤</t>
    <phoneticPr fontId="1" type="noConversion"/>
  </si>
  <si>
    <t>　　預付款項－車票</t>
    <phoneticPr fontId="1" type="noConversion"/>
  </si>
  <si>
    <t>伙食費</t>
    <phoneticPr fontId="1" type="noConversion"/>
  </si>
  <si>
    <t>副食費</t>
    <phoneticPr fontId="1" type="noConversion"/>
  </si>
  <si>
    <t>　　現金－錢包</t>
    <phoneticPr fontId="1" type="noConversion"/>
  </si>
  <si>
    <t>交通費帳戶</t>
    <phoneticPr fontId="1" type="noConversion"/>
  </si>
  <si>
    <t>保留盈餘</t>
    <phoneticPr fontId="1" type="noConversion"/>
  </si>
  <si>
    <t>　　備抵費損</t>
    <phoneticPr fontId="1" type="noConversion"/>
  </si>
  <si>
    <t>　　投資成本</t>
    <phoneticPr fontId="1" type="noConversion"/>
  </si>
  <si>
    <t>應付款項</t>
    <phoneticPr fontId="1" type="noConversion"/>
  </si>
  <si>
    <t>　　其他收益</t>
    <phoneticPr fontId="1" type="noConversion"/>
  </si>
  <si>
    <t>伙食費</t>
    <phoneticPr fontId="1" type="noConversion"/>
  </si>
  <si>
    <t>　　伙食費</t>
    <phoneticPr fontId="1" type="noConversion"/>
  </si>
  <si>
    <t>　　交通費－通勤</t>
    <phoneticPr fontId="1" type="noConversion"/>
  </si>
  <si>
    <t>　　交通費－其他</t>
    <phoneticPr fontId="1" type="noConversion"/>
  </si>
  <si>
    <t>　　副食費</t>
    <phoneticPr fontId="1" type="noConversion"/>
  </si>
  <si>
    <t>　　現金短少</t>
    <phoneticPr fontId="1" type="noConversion"/>
  </si>
  <si>
    <t>　　其他費損</t>
    <phoneticPr fontId="1" type="noConversion"/>
  </si>
  <si>
    <t>備抵費損</t>
    <phoneticPr fontId="1" type="noConversion"/>
  </si>
  <si>
    <t>零用錢收入</t>
    <phoneticPr fontId="1" type="noConversion"/>
  </si>
  <si>
    <t>交通資助</t>
    <phoneticPr fontId="1" type="noConversion"/>
  </si>
  <si>
    <t>其他收益</t>
    <phoneticPr fontId="1" type="noConversion"/>
  </si>
  <si>
    <t>　　備抵收益</t>
    <phoneticPr fontId="1" type="noConversion"/>
  </si>
  <si>
    <t>交通費－其他</t>
    <phoneticPr fontId="1" type="noConversion"/>
  </si>
  <si>
    <t>預付款項－悠遊卡</t>
    <phoneticPr fontId="1" type="noConversion"/>
  </si>
  <si>
    <t>　　現金－錢包</t>
    <phoneticPr fontId="1" type="noConversion"/>
  </si>
  <si>
    <t>　　預付款項－悠遊卡</t>
    <phoneticPr fontId="1" type="noConversion"/>
  </si>
  <si>
    <t>保留盈餘</t>
    <phoneticPr fontId="1" type="noConversion"/>
  </si>
  <si>
    <t>　　交通費帳戶</t>
    <phoneticPr fontId="1" type="noConversion"/>
  </si>
  <si>
    <t>交通費帳戶</t>
    <phoneticPr fontId="1" type="noConversion"/>
  </si>
  <si>
    <t>　　備抵費損</t>
    <phoneticPr fontId="1" type="noConversion"/>
  </si>
  <si>
    <t>現金－錢包</t>
    <phoneticPr fontId="1" type="noConversion"/>
  </si>
  <si>
    <t>　　零用錢收入</t>
    <phoneticPr fontId="1" type="noConversion"/>
  </si>
  <si>
    <t>備抵收益</t>
    <phoneticPr fontId="1" type="noConversion"/>
  </si>
  <si>
    <t>　　保留盈餘</t>
    <phoneticPr fontId="1" type="noConversion"/>
  </si>
  <si>
    <t>現金－存錢筒</t>
    <phoneticPr fontId="1" type="noConversion"/>
  </si>
  <si>
    <t>備抵收益</t>
    <phoneticPr fontId="1" type="noConversion"/>
  </si>
  <si>
    <t>　　保留盈餘</t>
    <phoneticPr fontId="1" type="noConversion"/>
  </si>
  <si>
    <t>低流動帳戶</t>
    <phoneticPr fontId="1" type="noConversion"/>
  </si>
  <si>
    <t>　　儲蓄帳戶</t>
    <phoneticPr fontId="1" type="noConversion"/>
  </si>
  <si>
    <t>速動帳戶</t>
    <phoneticPr fontId="1" type="noConversion"/>
  </si>
  <si>
    <t>　　現金－錢包</t>
    <phoneticPr fontId="1" type="noConversion"/>
  </si>
  <si>
    <t>保留盈餘</t>
    <phoneticPr fontId="1" type="noConversion"/>
  </si>
  <si>
    <t>　　低流動帳戶</t>
    <phoneticPr fontId="1" type="noConversion"/>
  </si>
  <si>
    <t>現金－錢包</t>
    <phoneticPr fontId="1" type="noConversion"/>
  </si>
  <si>
    <t>　　交通資助</t>
    <phoneticPr fontId="1" type="noConversion"/>
  </si>
  <si>
    <t>　　零用錢收入</t>
    <phoneticPr fontId="1" type="noConversion"/>
  </si>
  <si>
    <t>　　現金－儲蓄</t>
    <phoneticPr fontId="1" type="noConversion"/>
  </si>
  <si>
    <t>備抵收益</t>
    <phoneticPr fontId="1" type="noConversion"/>
  </si>
  <si>
    <t>　　交通費帳戶</t>
    <phoneticPr fontId="1" type="noConversion"/>
  </si>
  <si>
    <t>　　保留盈餘</t>
    <phoneticPr fontId="1" type="noConversion"/>
  </si>
  <si>
    <t>儲蓄帳戶</t>
    <phoneticPr fontId="1" type="noConversion"/>
  </si>
  <si>
    <t>借餘</t>
  </si>
  <si>
    <t>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</si>
</sst>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76" formatCode="_-* #,##0_-;\-* #,##0_-;_-* &quot;-&quot;??_-;_-@_-"/>
  </numFmts>
  <fonts count="11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2"/>
      <scheme val="minor"/>
    </font>
    <font>
      <sz val="9"/>
      <color theme="1"/>
      <name val="新細明體"/>
      <family val="1"/>
      <scheme val="minor"/>
    </font>
    <font>
      <sz val="12"/>
      <color theme="1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1.5"/>
      <color theme="1"/>
      <name val="微軟正黑體"/>
      <family val="2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1"/>
      <color theme="1"/>
      <name val="新細明體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auto="1"/>
      </left>
      <right style="thin">
        <color auto="1"/>
      </right>
      <top style="thin">
        <color rgb="FFFF0000"/>
      </top>
      <bottom style="double">
        <color rgb="FFFF0000"/>
      </bottom>
      <diagonal/>
    </border>
    <border>
      <left style="thin">
        <color auto="1"/>
      </left>
      <right style="thick">
        <color auto="1"/>
      </right>
      <top style="thin">
        <color rgb="FFFF0000"/>
      </top>
      <bottom style="double">
        <color rgb="FFFF0000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>
      <alignment vertical="center"/>
    </xf>
    <xf numFmtId="0" fontId="3" fillId="0" borderId="0"/>
  </cellStyleXfs>
  <cellXfs count="135">
    <xf numFmtId="0" fontId="0" fillId="0" borderId="0" xfId="0"/>
    <xf numFmtId="0" fontId="4" fillId="0" borderId="8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/>
    <xf numFmtId="0" fontId="4" fillId="0" borderId="0" xfId="1" applyNumberFormat="1" applyFont="1" applyAlignment="1"/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/>
    <xf numFmtId="176" fontId="4" fillId="3" borderId="11" xfId="1" applyNumberFormat="1" applyFont="1" applyFill="1" applyBorder="1" applyAlignment="1"/>
    <xf numFmtId="176" fontId="4" fillId="3" borderId="12" xfId="1" applyNumberFormat="1" applyFont="1" applyFill="1" applyBorder="1" applyAlignment="1"/>
    <xf numFmtId="0" fontId="4" fillId="7" borderId="5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176" fontId="4" fillId="0" borderId="8" xfId="1" applyNumberFormat="1" applyFont="1" applyBorder="1" applyAlignment="1"/>
    <xf numFmtId="176" fontId="4" fillId="0" borderId="9" xfId="1" applyNumberFormat="1" applyFont="1" applyBorder="1" applyAlignment="1"/>
    <xf numFmtId="176" fontId="4" fillId="0" borderId="0" xfId="0" applyNumberFormat="1" applyFont="1"/>
    <xf numFmtId="0" fontId="4" fillId="7" borderId="4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11" xfId="0" applyFont="1" applyFill="1" applyBorder="1"/>
    <xf numFmtId="176" fontId="4" fillId="4" borderId="11" xfId="1" applyNumberFormat="1" applyFont="1" applyFill="1" applyBorder="1" applyAlignment="1"/>
    <xf numFmtId="176" fontId="4" fillId="4" borderId="12" xfId="1" applyNumberFormat="1" applyFont="1" applyFill="1" applyBorder="1" applyAlignment="1"/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5" borderId="11" xfId="0" applyFont="1" applyFill="1" applyBorder="1"/>
    <xf numFmtId="176" fontId="4" fillId="5" borderId="11" xfId="1" applyNumberFormat="1" applyFont="1" applyFill="1" applyBorder="1" applyAlignment="1"/>
    <xf numFmtId="176" fontId="4" fillId="5" borderId="12" xfId="1" applyNumberFormat="1" applyFont="1" applyFill="1" applyBorder="1" applyAlignment="1"/>
    <xf numFmtId="0" fontId="4" fillId="6" borderId="10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6" borderId="11" xfId="0" applyFont="1" applyFill="1" applyBorder="1"/>
    <xf numFmtId="176" fontId="4" fillId="6" borderId="11" xfId="1" applyNumberFormat="1" applyFont="1" applyFill="1" applyBorder="1" applyAlignment="1"/>
    <xf numFmtId="176" fontId="4" fillId="6" borderId="12" xfId="1" applyNumberFormat="1" applyFont="1" applyFill="1" applyBorder="1" applyAlignment="1"/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1" xfId="0" applyFont="1" applyFill="1" applyBorder="1"/>
    <xf numFmtId="176" fontId="4" fillId="2" borderId="11" xfId="1" applyNumberFormat="1" applyFont="1" applyFill="1" applyBorder="1" applyAlignment="1"/>
    <xf numFmtId="176" fontId="4" fillId="2" borderId="12" xfId="1" applyNumberFormat="1" applyFont="1" applyFill="1" applyBorder="1" applyAlignment="1"/>
    <xf numFmtId="176" fontId="4" fillId="0" borderId="0" xfId="1" applyNumberFormat="1" applyFont="1" applyAlignment="1"/>
    <xf numFmtId="0" fontId="6" fillId="0" borderId="5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8" borderId="10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11" xfId="0" applyFont="1" applyFill="1" applyBorder="1"/>
    <xf numFmtId="176" fontId="4" fillId="8" borderId="11" xfId="1" applyNumberFormat="1" applyFont="1" applyFill="1" applyBorder="1" applyAlignment="1"/>
    <xf numFmtId="0" fontId="4" fillId="8" borderId="12" xfId="0" applyFon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/>
    </xf>
    <xf numFmtId="0" fontId="4" fillId="7" borderId="11" xfId="0" applyFont="1" applyFill="1" applyBorder="1" applyAlignment="1">
      <alignment horizontal="center"/>
    </xf>
    <xf numFmtId="176" fontId="4" fillId="0" borderId="11" xfId="1" applyNumberFormat="1" applyFont="1" applyBorder="1" applyAlignment="1"/>
    <xf numFmtId="0" fontId="4" fillId="0" borderId="0" xfId="0" applyFont="1" applyAlignment="1">
      <alignment vertical="center"/>
    </xf>
    <xf numFmtId="176" fontId="4" fillId="0" borderId="8" xfId="1" applyNumberFormat="1" applyFont="1" applyBorder="1" applyAlignment="1">
      <alignment horizontal="center" vertical="center"/>
    </xf>
    <xf numFmtId="176" fontId="4" fillId="0" borderId="9" xfId="1" applyNumberFormat="1" applyFon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176" fontId="4" fillId="0" borderId="0" xfId="1" applyNumberFormat="1" applyFont="1" applyBorder="1" applyAlignment="1"/>
    <xf numFmtId="0" fontId="4" fillId="0" borderId="0" xfId="0" applyFont="1" applyBorder="1"/>
    <xf numFmtId="0" fontId="4" fillId="0" borderId="0" xfId="0" applyFont="1" applyAlignment="1">
      <alignment horizontal="left" vertical="center"/>
    </xf>
    <xf numFmtId="176" fontId="4" fillId="0" borderId="12" xfId="1" applyNumberFormat="1" applyFont="1" applyBorder="1" applyAlignment="1"/>
    <xf numFmtId="0" fontId="4" fillId="7" borderId="5" xfId="1" applyNumberFormat="1" applyFont="1" applyFill="1" applyBorder="1" applyAlignment="1">
      <alignment horizontal="center"/>
    </xf>
    <xf numFmtId="0" fontId="4" fillId="7" borderId="6" xfId="1" applyNumberFormat="1" applyFont="1" applyFill="1" applyBorder="1" applyAlignment="1">
      <alignment horizontal="center"/>
    </xf>
    <xf numFmtId="0" fontId="4" fillId="7" borderId="11" xfId="1" applyNumberFormat="1" applyFont="1" applyFill="1" applyBorder="1" applyAlignment="1">
      <alignment horizontal="center"/>
    </xf>
    <xf numFmtId="0" fontId="4" fillId="7" borderId="12" xfId="1" applyNumberFormat="1" applyFont="1" applyFill="1" applyBorder="1" applyAlignment="1">
      <alignment horizontal="center"/>
    </xf>
    <xf numFmtId="176" fontId="4" fillId="5" borderId="6" xfId="1" applyNumberFormat="1" applyFont="1" applyFill="1" applyBorder="1" applyAlignment="1"/>
    <xf numFmtId="176" fontId="4" fillId="0" borderId="28" xfId="1" applyNumberFormat="1" applyFont="1" applyBorder="1" applyAlignment="1"/>
    <xf numFmtId="176" fontId="4" fillId="0" borderId="29" xfId="1" applyNumberFormat="1" applyFont="1" applyBorder="1" applyAlignment="1"/>
    <xf numFmtId="176" fontId="4" fillId="0" borderId="26" xfId="1" applyNumberFormat="1" applyFont="1" applyBorder="1" applyAlignment="1"/>
    <xf numFmtId="176" fontId="4" fillId="0" borderId="27" xfId="1" applyNumberFormat="1" applyFont="1" applyBorder="1" applyAlignment="1"/>
    <xf numFmtId="0" fontId="4" fillId="0" borderId="7" xfId="0" applyFont="1" applyBorder="1" applyAlignment="1">
      <alignment horizontal="center"/>
    </xf>
    <xf numFmtId="0" fontId="4" fillId="0" borderId="8" xfId="0" applyFont="1" applyBorder="1"/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/>
    <xf numFmtId="0" fontId="4" fillId="0" borderId="12" xfId="0" applyFont="1" applyBorder="1" applyAlignment="1">
      <alignment horizontal="center"/>
    </xf>
    <xf numFmtId="0" fontId="4" fillId="0" borderId="30" xfId="0" applyFont="1" applyBorder="1" applyAlignment="1">
      <alignment horizontal="center" vertical="center"/>
    </xf>
    <xf numFmtId="0" fontId="4" fillId="0" borderId="18" xfId="0" applyFont="1" applyBorder="1"/>
    <xf numFmtId="176" fontId="4" fillId="0" borderId="18" xfId="1" applyNumberFormat="1" applyFont="1" applyBorder="1" applyAlignment="1"/>
    <xf numFmtId="176" fontId="4" fillId="0" borderId="31" xfId="1" applyNumberFormat="1" applyFont="1" applyBorder="1" applyAlignment="1"/>
    <xf numFmtId="0" fontId="4" fillId="0" borderId="4" xfId="0" applyFont="1" applyBorder="1" applyAlignment="1">
      <alignment horizontal="center" vertical="center"/>
    </xf>
    <xf numFmtId="0" fontId="4" fillId="0" borderId="5" xfId="0" applyFont="1" applyBorder="1"/>
    <xf numFmtId="176" fontId="4" fillId="0" borderId="5" xfId="1" applyNumberFormat="1" applyFont="1" applyBorder="1" applyAlignment="1"/>
    <xf numFmtId="176" fontId="4" fillId="0" borderId="6" xfId="1" applyNumberFormat="1" applyFont="1" applyBorder="1" applyAlignment="1"/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4" fillId="7" borderId="5" xfId="0" applyFont="1" applyFill="1" applyBorder="1" applyAlignment="1">
      <alignment horizontal="center" vertical="center"/>
    </xf>
    <xf numFmtId="0" fontId="4" fillId="7" borderId="6" xfId="0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0" fontId="4" fillId="0" borderId="19" xfId="0" applyFont="1" applyBorder="1"/>
    <xf numFmtId="0" fontId="4" fillId="0" borderId="24" xfId="0" applyFont="1" applyBorder="1"/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8" xfId="0" applyFont="1" applyFill="1" applyBorder="1"/>
    <xf numFmtId="176" fontId="4" fillId="2" borderId="8" xfId="1" applyNumberFormat="1" applyFont="1" applyFill="1" applyBorder="1" applyAlignment="1"/>
    <xf numFmtId="176" fontId="4" fillId="2" borderId="9" xfId="1" applyNumberFormat="1" applyFont="1" applyFill="1" applyBorder="1" applyAlignment="1"/>
    <xf numFmtId="0" fontId="4" fillId="0" borderId="20" xfId="0" applyFont="1" applyBorder="1"/>
    <xf numFmtId="0" fontId="4" fillId="0" borderId="25" xfId="0" applyFont="1" applyBorder="1"/>
    <xf numFmtId="0" fontId="4" fillId="0" borderId="32" xfId="0" applyFont="1" applyBorder="1" applyAlignment="1">
      <alignment horizontal="center"/>
    </xf>
    <xf numFmtId="0" fontId="4" fillId="0" borderId="32" xfId="0" applyFont="1" applyBorder="1"/>
    <xf numFmtId="176" fontId="4" fillId="0" borderId="32" xfId="1" applyNumberFormat="1" applyFont="1" applyBorder="1" applyAlignment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76" fontId="0" fillId="0" borderId="5" xfId="1" applyNumberFormat="1" applyFont="1" applyBorder="1" applyAlignment="1"/>
    <xf numFmtId="176" fontId="0" fillId="0" borderId="6" xfId="1" applyNumberFormat="1" applyFont="1" applyBorder="1" applyAlignment="1"/>
    <xf numFmtId="0" fontId="10" fillId="0" borderId="5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7" borderId="5" xfId="0" applyFont="1" applyFill="1" applyBorder="1" applyAlignment="1">
      <alignment horizontal="center" vertical="center"/>
    </xf>
    <xf numFmtId="0" fontId="4" fillId="7" borderId="6" xfId="0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/>
    </xf>
    <xf numFmtId="0" fontId="4" fillId="7" borderId="16" xfId="0" applyFont="1" applyFill="1" applyBorder="1" applyAlignment="1">
      <alignment horizontal="center"/>
    </xf>
    <xf numFmtId="0" fontId="4" fillId="7" borderId="17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7" borderId="2" xfId="1" applyNumberFormat="1" applyFont="1" applyFill="1" applyBorder="1" applyAlignment="1">
      <alignment horizontal="center"/>
    </xf>
    <xf numFmtId="0" fontId="4" fillId="7" borderId="3" xfId="1" applyNumberFormat="1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 vertical="center"/>
    </xf>
    <xf numFmtId="176" fontId="4" fillId="7" borderId="2" xfId="1" applyNumberFormat="1" applyFont="1" applyFill="1" applyBorder="1" applyAlignment="1">
      <alignment horizontal="center" vertical="center"/>
    </xf>
    <xf numFmtId="176" fontId="4" fillId="7" borderId="11" xfId="1" applyNumberFormat="1" applyFont="1" applyFill="1" applyBorder="1" applyAlignment="1">
      <alignment horizontal="center" vertical="center"/>
    </xf>
    <xf numFmtId="176" fontId="4" fillId="7" borderId="13" xfId="1" applyNumberFormat="1" applyFont="1" applyFill="1" applyBorder="1" applyAlignment="1">
      <alignment horizontal="center" vertical="center"/>
    </xf>
    <xf numFmtId="176" fontId="4" fillId="7" borderId="14" xfId="1" applyNumberFormat="1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/>
    </xf>
    <xf numFmtId="0" fontId="4" fillId="7" borderId="13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7" borderId="22" xfId="0" applyFont="1" applyFill="1" applyBorder="1" applyAlignment="1">
      <alignment horizontal="center"/>
    </xf>
    <xf numFmtId="176" fontId="4" fillId="7" borderId="3" xfId="1" applyNumberFormat="1" applyFont="1" applyFill="1" applyBorder="1" applyAlignment="1">
      <alignment horizontal="center" vertical="center"/>
    </xf>
    <xf numFmtId="176" fontId="4" fillId="7" borderId="12" xfId="1" applyNumberFormat="1" applyFont="1" applyFill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</cellXfs>
  <cellStyles count="3">
    <cellStyle name="一般" xfId="0" builtinId="0"/>
    <cellStyle name="一般 2" xfId="2"/>
    <cellStyle name="千分位" xfId="1" builtinId="3"/>
  </cellStyles>
  <dxfs count="6">
    <dxf>
      <font>
        <color theme="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/>
      </font>
    </dxf>
    <dxf>
      <font>
        <color theme="0" tint="-0.14996795556505021"/>
      </font>
    </dxf>
    <dxf>
      <font>
        <color theme="0" tint="-0.34998626667073579"/>
      </font>
    </dxf>
  </dxfs>
  <tableStyles count="0" defaultTableStyle="TableStyleMedium2" defaultPivotStyle="PivotStyleMedium9"/>
  <colors>
    <mruColors>
      <color rgb="FF0066FF"/>
      <color rgb="FFFF33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</xdr:row>
          <xdr:rowOff>106680</xdr:rowOff>
        </xdr:from>
        <xdr:to>
          <xdr:col>18</xdr:col>
          <xdr:colOff>0</xdr:colOff>
          <xdr:row>6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新增科目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10</xdr:row>
          <xdr:rowOff>121920</xdr:rowOff>
        </xdr:from>
        <xdr:to>
          <xdr:col>15</xdr:col>
          <xdr:colOff>0</xdr:colOff>
          <xdr:row>12</xdr:row>
          <xdr:rowOff>121920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刪除科目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236220</xdr:colOff>
      <xdr:row>2</xdr:row>
      <xdr:rowOff>45720</xdr:rowOff>
    </xdr:from>
    <xdr:ext cx="184731" cy="264560"/>
    <xdr:sp macro="" textlink="">
      <xdr:nvSpPr>
        <xdr:cNvPr id="2" name="文字方塊 1"/>
        <xdr:cNvSpPr txBox="1"/>
      </xdr:nvSpPr>
      <xdr:spPr>
        <a:xfrm>
          <a:off x="8770620" y="45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TW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4</xdr:row>
          <xdr:rowOff>106680</xdr:rowOff>
        </xdr:from>
        <xdr:to>
          <xdr:col>8</xdr:col>
          <xdr:colOff>403860</xdr:colOff>
          <xdr:row>5</xdr:row>
          <xdr:rowOff>106680</xdr:rowOff>
        </xdr:to>
        <xdr:sp macro="" textlink="">
          <xdr:nvSpPr>
            <xdr:cNvPr id="20549" name="Button 69" hidden="1">
              <a:extLst>
                <a:ext uri="{63B3BB69-23CF-44E3-9099-C40C66FF867C}">
                  <a14:compatExt spid="_x0000_s20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增列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601980</xdr:colOff>
          <xdr:row>4</xdr:row>
          <xdr:rowOff>106680</xdr:rowOff>
        </xdr:from>
        <xdr:to>
          <xdr:col>17</xdr:col>
          <xdr:colOff>403860</xdr:colOff>
          <xdr:row>5</xdr:row>
          <xdr:rowOff>106680</xdr:rowOff>
        </xdr:to>
        <xdr:sp macro="" textlink="">
          <xdr:nvSpPr>
            <xdr:cNvPr id="20550" name="Button 70" hidden="1">
              <a:extLst>
                <a:ext uri="{63B3BB69-23CF-44E3-9099-C40C66FF867C}">
                  <a14:compatExt spid="_x0000_s20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增列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601980</xdr:colOff>
          <xdr:row>4</xdr:row>
          <xdr:rowOff>106680</xdr:rowOff>
        </xdr:from>
        <xdr:to>
          <xdr:col>26</xdr:col>
          <xdr:colOff>403860</xdr:colOff>
          <xdr:row>5</xdr:row>
          <xdr:rowOff>106680</xdr:rowOff>
        </xdr:to>
        <xdr:sp macro="" textlink="">
          <xdr:nvSpPr>
            <xdr:cNvPr id="20551" name="Button 71" hidden="1">
              <a:extLst>
                <a:ext uri="{63B3BB69-23CF-44E3-9099-C40C66FF867C}">
                  <a14:compatExt spid="_x0000_s20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增列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601980</xdr:colOff>
          <xdr:row>4</xdr:row>
          <xdr:rowOff>106680</xdr:rowOff>
        </xdr:from>
        <xdr:to>
          <xdr:col>35</xdr:col>
          <xdr:colOff>403860</xdr:colOff>
          <xdr:row>5</xdr:row>
          <xdr:rowOff>106680</xdr:rowOff>
        </xdr:to>
        <xdr:sp macro="" textlink="">
          <xdr:nvSpPr>
            <xdr:cNvPr id="20552" name="Button 72" hidden="1">
              <a:extLst>
                <a:ext uri="{63B3BB69-23CF-44E3-9099-C40C66FF867C}">
                  <a14:compatExt spid="_x0000_s20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增列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601980</xdr:colOff>
          <xdr:row>4</xdr:row>
          <xdr:rowOff>106680</xdr:rowOff>
        </xdr:from>
        <xdr:to>
          <xdr:col>44</xdr:col>
          <xdr:colOff>403860</xdr:colOff>
          <xdr:row>5</xdr:row>
          <xdr:rowOff>106680</xdr:rowOff>
        </xdr:to>
        <xdr:sp macro="" textlink="">
          <xdr:nvSpPr>
            <xdr:cNvPr id="20553" name="Button 73" hidden="1">
              <a:extLst>
                <a:ext uri="{63B3BB69-23CF-44E3-9099-C40C66FF867C}">
                  <a14:compatExt spid="_x0000_s20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增列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601980</xdr:colOff>
          <xdr:row>4</xdr:row>
          <xdr:rowOff>106680</xdr:rowOff>
        </xdr:from>
        <xdr:to>
          <xdr:col>53</xdr:col>
          <xdr:colOff>403860</xdr:colOff>
          <xdr:row>5</xdr:row>
          <xdr:rowOff>106680</xdr:rowOff>
        </xdr:to>
        <xdr:sp macro="" textlink="">
          <xdr:nvSpPr>
            <xdr:cNvPr id="20554" name="Button 74" hidden="1">
              <a:extLst>
                <a:ext uri="{63B3BB69-23CF-44E3-9099-C40C66FF867C}">
                  <a14:compatExt spid="_x0000_s20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增列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601980</xdr:colOff>
          <xdr:row>4</xdr:row>
          <xdr:rowOff>106680</xdr:rowOff>
        </xdr:from>
        <xdr:to>
          <xdr:col>62</xdr:col>
          <xdr:colOff>403860</xdr:colOff>
          <xdr:row>5</xdr:row>
          <xdr:rowOff>106680</xdr:rowOff>
        </xdr:to>
        <xdr:sp macro="" textlink="">
          <xdr:nvSpPr>
            <xdr:cNvPr id="20555" name="Button 75" hidden="1">
              <a:extLst>
                <a:ext uri="{63B3BB69-23CF-44E3-9099-C40C66FF867C}">
                  <a14:compatExt spid="_x0000_s20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增列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609600</xdr:colOff>
          <xdr:row>4</xdr:row>
          <xdr:rowOff>106680</xdr:rowOff>
        </xdr:from>
        <xdr:to>
          <xdr:col>72</xdr:col>
          <xdr:colOff>0</xdr:colOff>
          <xdr:row>5</xdr:row>
          <xdr:rowOff>106680</xdr:rowOff>
        </xdr:to>
        <xdr:sp macro="" textlink="">
          <xdr:nvSpPr>
            <xdr:cNvPr id="20556" name="Button 76" hidden="1">
              <a:extLst>
                <a:ext uri="{63B3BB69-23CF-44E3-9099-C40C66FF867C}">
                  <a14:compatExt spid="_x0000_s20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增列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601980</xdr:colOff>
          <xdr:row>4</xdr:row>
          <xdr:rowOff>99060</xdr:rowOff>
        </xdr:from>
        <xdr:to>
          <xdr:col>80</xdr:col>
          <xdr:colOff>403860</xdr:colOff>
          <xdr:row>5</xdr:row>
          <xdr:rowOff>99060</xdr:rowOff>
        </xdr:to>
        <xdr:sp macro="" textlink="">
          <xdr:nvSpPr>
            <xdr:cNvPr id="20557" name="Button 77" hidden="1">
              <a:extLst>
                <a:ext uri="{63B3BB69-23CF-44E3-9099-C40C66FF867C}">
                  <a14:compatExt spid="_x0000_s20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增列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88</xdr:col>
          <xdr:colOff>609600</xdr:colOff>
          <xdr:row>4</xdr:row>
          <xdr:rowOff>106680</xdr:rowOff>
        </xdr:from>
        <xdr:to>
          <xdr:col>90</xdr:col>
          <xdr:colOff>0</xdr:colOff>
          <xdr:row>5</xdr:row>
          <xdr:rowOff>106680</xdr:rowOff>
        </xdr:to>
        <xdr:sp macro="" textlink="">
          <xdr:nvSpPr>
            <xdr:cNvPr id="20558" name="Button 78" hidden="1">
              <a:extLst>
                <a:ext uri="{63B3BB69-23CF-44E3-9099-C40C66FF867C}">
                  <a14:compatExt spid="_x0000_s20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增列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</xdr:col>
          <xdr:colOff>601980</xdr:colOff>
          <xdr:row>4</xdr:row>
          <xdr:rowOff>99060</xdr:rowOff>
        </xdr:from>
        <xdr:to>
          <xdr:col>98</xdr:col>
          <xdr:colOff>403860</xdr:colOff>
          <xdr:row>5</xdr:row>
          <xdr:rowOff>99060</xdr:rowOff>
        </xdr:to>
        <xdr:sp macro="" textlink="">
          <xdr:nvSpPr>
            <xdr:cNvPr id="20559" name="Button 79" hidden="1">
              <a:extLst>
                <a:ext uri="{63B3BB69-23CF-44E3-9099-C40C66FF867C}">
                  <a14:compatExt spid="_x0000_s20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增列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</xdr:col>
          <xdr:colOff>601980</xdr:colOff>
          <xdr:row>4</xdr:row>
          <xdr:rowOff>99060</xdr:rowOff>
        </xdr:from>
        <xdr:to>
          <xdr:col>107</xdr:col>
          <xdr:colOff>403860</xdr:colOff>
          <xdr:row>5</xdr:row>
          <xdr:rowOff>99060</xdr:rowOff>
        </xdr:to>
        <xdr:sp macro="" textlink="">
          <xdr:nvSpPr>
            <xdr:cNvPr id="20560" name="Button 80" hidden="1">
              <a:extLst>
                <a:ext uri="{63B3BB69-23CF-44E3-9099-C40C66FF867C}">
                  <a14:compatExt spid="_x0000_s20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增列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121920</xdr:colOff>
          <xdr:row>3</xdr:row>
          <xdr:rowOff>7620</xdr:rowOff>
        </xdr:from>
        <xdr:to>
          <xdr:col>7</xdr:col>
          <xdr:colOff>426720</xdr:colOff>
          <xdr:row>5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查看分類帳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175260</xdr:colOff>
          <xdr:row>3</xdr:row>
          <xdr:rowOff>198120</xdr:rowOff>
        </xdr:from>
        <xdr:to>
          <xdr:col>16</xdr:col>
          <xdr:colOff>182880</xdr:colOff>
          <xdr:row>5</xdr:row>
          <xdr:rowOff>190500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刷新工作底稿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U82"/>
  <sheetViews>
    <sheetView zoomScaleNormal="100" workbookViewId="0">
      <selection activeCell="N34" sqref="N34"/>
    </sheetView>
  </sheetViews>
  <sheetFormatPr defaultRowHeight="15.6" x14ac:dyDescent="0.3"/>
  <cols>
    <col min="1" max="1" width="8.88671875" style="3" customWidth="1"/>
    <col min="2" max="3" width="8.88671875" style="3" hidden="1" customWidth="1"/>
    <col min="4" max="4" width="10.5546875" style="2" bestFit="1" customWidth="1"/>
    <col min="5" max="5" width="20.21875" style="2" bestFit="1" customWidth="1"/>
    <col min="6" max="6" width="20.21875" style="3" hidden="1" customWidth="1"/>
    <col min="7" max="8" width="10.88671875" style="37" bestFit="1" customWidth="1"/>
    <col min="9" max="9" width="5.21875" style="3" customWidth="1"/>
    <col min="10" max="10" width="8.88671875" style="3" hidden="1" customWidth="1"/>
    <col min="11" max="11" width="5.5546875" style="3" customWidth="1"/>
    <col min="12" max="12" width="10.44140625" style="3" bestFit="1" customWidth="1"/>
    <col min="13" max="13" width="20.33203125" style="3" bestFit="1" customWidth="1"/>
    <col min="14" max="15" width="8.44140625" style="3" bestFit="1" customWidth="1"/>
    <col min="16" max="16" width="1.6640625" style="3" customWidth="1"/>
    <col min="17" max="17" width="8.88671875" style="3"/>
    <col min="18" max="18" width="4.44140625" style="3" customWidth="1"/>
    <col min="19" max="19" width="8.88671875" style="3" customWidth="1"/>
    <col min="20" max="20" width="3.77734375" style="3" customWidth="1"/>
    <col min="21" max="16384" width="8.88671875" style="3"/>
  </cols>
  <sheetData>
    <row r="1" spans="4:21" x14ac:dyDescent="0.3">
      <c r="G1" s="4"/>
      <c r="H1" s="4"/>
    </row>
    <row r="2" spans="4:21" ht="16.2" hidden="1" customHeight="1" x14ac:dyDescent="0.3">
      <c r="G2" s="4"/>
      <c r="H2" s="4"/>
      <c r="U2" s="3" t="s">
        <v>53</v>
      </c>
    </row>
    <row r="3" spans="4:21" ht="16.2" thickBot="1" x14ac:dyDescent="0.35">
      <c r="G3" s="4"/>
      <c r="H3" s="4"/>
    </row>
    <row r="4" spans="4:21" ht="16.2" thickTop="1" x14ac:dyDescent="0.3">
      <c r="D4" s="119" t="s">
        <v>0</v>
      </c>
      <c r="E4" s="115" t="s">
        <v>1</v>
      </c>
      <c r="F4" s="115"/>
      <c r="G4" s="117" t="s">
        <v>4</v>
      </c>
      <c r="H4" s="118"/>
      <c r="L4" s="110" t="s">
        <v>5</v>
      </c>
      <c r="M4" s="111"/>
      <c r="N4" s="111"/>
      <c r="O4" s="112"/>
    </row>
    <row r="5" spans="4:21" x14ac:dyDescent="0.3">
      <c r="D5" s="120"/>
      <c r="E5" s="116"/>
      <c r="F5" s="116"/>
      <c r="G5" s="59" t="s">
        <v>2</v>
      </c>
      <c r="H5" s="60" t="s">
        <v>3</v>
      </c>
      <c r="L5" s="109" t="s">
        <v>6</v>
      </c>
      <c r="M5" s="107" t="s">
        <v>7</v>
      </c>
      <c r="N5" s="107" t="s">
        <v>8</v>
      </c>
      <c r="O5" s="108"/>
    </row>
    <row r="6" spans="4:21" x14ac:dyDescent="0.3">
      <c r="D6" s="5">
        <v>101</v>
      </c>
      <c r="E6" s="6" t="s">
        <v>34</v>
      </c>
      <c r="F6" s="7" t="s">
        <v>34</v>
      </c>
      <c r="G6" s="8">
        <v>597</v>
      </c>
      <c r="H6" s="9"/>
      <c r="L6" s="109"/>
      <c r="M6" s="107"/>
      <c r="N6" s="84" t="s">
        <v>9</v>
      </c>
      <c r="O6" s="85" t="s">
        <v>10</v>
      </c>
    </row>
    <row r="7" spans="4:21" ht="16.2" thickBot="1" x14ac:dyDescent="0.35">
      <c r="D7" s="5">
        <v>102</v>
      </c>
      <c r="E7" s="6" t="s">
        <v>35</v>
      </c>
      <c r="F7" s="7" t="s">
        <v>48</v>
      </c>
      <c r="G7" s="8">
        <v>245</v>
      </c>
      <c r="H7" s="9"/>
      <c r="L7" s="11"/>
      <c r="M7" s="1"/>
      <c r="N7" s="12"/>
      <c r="O7" s="13"/>
    </row>
    <row r="8" spans="4:21" ht="16.2" thickTop="1" x14ac:dyDescent="0.3">
      <c r="D8" s="5">
        <v>103</v>
      </c>
      <c r="E8" s="6" t="s">
        <v>66</v>
      </c>
      <c r="F8" s="7" t="s">
        <v>35</v>
      </c>
      <c r="G8" s="8">
        <f>50*9+10*9+19+600</f>
        <v>1159</v>
      </c>
      <c r="H8" s="9"/>
      <c r="K8" s="14"/>
    </row>
    <row r="9" spans="4:21" x14ac:dyDescent="0.3">
      <c r="D9" s="5">
        <v>107</v>
      </c>
      <c r="E9" s="6" t="s">
        <v>68</v>
      </c>
      <c r="F9" s="7" t="s">
        <v>49</v>
      </c>
      <c r="G9" s="8">
        <v>56249</v>
      </c>
      <c r="H9" s="9"/>
      <c r="K9" s="14"/>
    </row>
    <row r="10" spans="4:21" ht="16.2" thickBot="1" x14ac:dyDescent="0.35">
      <c r="D10" s="5">
        <v>110</v>
      </c>
      <c r="E10" s="6" t="s">
        <v>73</v>
      </c>
      <c r="F10" s="7" t="s">
        <v>66</v>
      </c>
      <c r="G10" s="8">
        <v>192</v>
      </c>
      <c r="H10" s="9"/>
    </row>
    <row r="11" spans="4:21" ht="16.2" thickTop="1" x14ac:dyDescent="0.3">
      <c r="D11" s="5">
        <v>111</v>
      </c>
      <c r="E11" s="6" t="s">
        <v>74</v>
      </c>
      <c r="F11" s="7" t="s">
        <v>67</v>
      </c>
      <c r="G11" s="8">
        <f>1160+58*7</f>
        <v>1566</v>
      </c>
      <c r="H11" s="9"/>
      <c r="L11" s="113" t="s">
        <v>11</v>
      </c>
      <c r="M11" s="114"/>
    </row>
    <row r="12" spans="4:21" x14ac:dyDescent="0.3">
      <c r="D12" s="5">
        <v>112</v>
      </c>
      <c r="E12" s="6" t="s">
        <v>77</v>
      </c>
      <c r="F12" s="7" t="s">
        <v>68</v>
      </c>
      <c r="G12" s="8">
        <f>420+300</f>
        <v>720</v>
      </c>
      <c r="H12" s="9"/>
      <c r="L12" s="86" t="s">
        <v>12</v>
      </c>
      <c r="M12" s="85" t="s">
        <v>13</v>
      </c>
    </row>
    <row r="13" spans="4:21" ht="16.2" thickBot="1" x14ac:dyDescent="0.35">
      <c r="D13" s="5">
        <v>116</v>
      </c>
      <c r="E13" s="6" t="s">
        <v>44</v>
      </c>
      <c r="F13" s="7" t="s">
        <v>69</v>
      </c>
      <c r="G13" s="8">
        <v>0</v>
      </c>
      <c r="H13" s="9"/>
      <c r="L13" s="11"/>
      <c r="M13" s="16" t="str">
        <f>IF(L13&lt;&gt;"",VLOOKUP(L13,D6:E1048576,2,FALSE),"")</f>
        <v/>
      </c>
    </row>
    <row r="14" spans="4:21" ht="16.2" thickTop="1" x14ac:dyDescent="0.3">
      <c r="D14" s="5">
        <v>121</v>
      </c>
      <c r="E14" s="6" t="s">
        <v>70</v>
      </c>
      <c r="F14" s="7" t="s">
        <v>72</v>
      </c>
      <c r="G14" s="8">
        <v>0</v>
      </c>
      <c r="H14" s="9"/>
    </row>
    <row r="15" spans="4:21" x14ac:dyDescent="0.3">
      <c r="D15" s="5">
        <v>124</v>
      </c>
      <c r="E15" s="6" t="s">
        <v>81</v>
      </c>
      <c r="F15" s="7" t="s">
        <v>75</v>
      </c>
      <c r="G15" s="8">
        <f>ROUNDDOWN(138*28+4291*0.028,0)</f>
        <v>3984</v>
      </c>
      <c r="H15" s="9"/>
    </row>
    <row r="16" spans="4:21" x14ac:dyDescent="0.3">
      <c r="D16" s="5">
        <v>125</v>
      </c>
      <c r="E16" s="6" t="s">
        <v>80</v>
      </c>
      <c r="F16" s="7" t="s">
        <v>74</v>
      </c>
      <c r="G16" s="8">
        <v>1379</v>
      </c>
      <c r="H16" s="9"/>
      <c r="L16" s="14"/>
    </row>
    <row r="17" spans="4:20" ht="16.8" customHeight="1" x14ac:dyDescent="0.3">
      <c r="D17" s="5">
        <v>131</v>
      </c>
      <c r="E17" s="6" t="s">
        <v>98</v>
      </c>
      <c r="F17" s="7" t="s">
        <v>76</v>
      </c>
      <c r="G17" s="8">
        <f>(30000+9000)-(2800*3+1400+11200)-G15</f>
        <v>14016</v>
      </c>
      <c r="H17" s="9"/>
      <c r="M17" s="14"/>
      <c r="T17" s="2"/>
    </row>
    <row r="18" spans="4:20" x14ac:dyDescent="0.3">
      <c r="D18" s="17">
        <v>201</v>
      </c>
      <c r="E18" s="18" t="s">
        <v>37</v>
      </c>
      <c r="F18" s="19" t="s">
        <v>77</v>
      </c>
      <c r="G18" s="20"/>
      <c r="H18" s="21">
        <v>0</v>
      </c>
      <c r="O18" s="14"/>
    </row>
    <row r="19" spans="4:20" x14ac:dyDescent="0.3">
      <c r="D19" s="22">
        <v>301</v>
      </c>
      <c r="E19" s="23" t="s">
        <v>89</v>
      </c>
      <c r="F19" s="24" t="s">
        <v>78</v>
      </c>
      <c r="G19" s="25"/>
      <c r="H19" s="26">
        <f>G6+G7+G12</f>
        <v>1562</v>
      </c>
    </row>
    <row r="20" spans="4:20" x14ac:dyDescent="0.3">
      <c r="D20" s="22">
        <v>304</v>
      </c>
      <c r="E20" s="23" t="s">
        <v>56</v>
      </c>
      <c r="F20" s="24" t="s">
        <v>36</v>
      </c>
      <c r="G20" s="25"/>
      <c r="H20" s="26">
        <f>G10+G11</f>
        <v>1758</v>
      </c>
      <c r="K20" s="14"/>
      <c r="L20" s="14"/>
    </row>
    <row r="21" spans="4:20" x14ac:dyDescent="0.3">
      <c r="D21" s="22">
        <v>306</v>
      </c>
      <c r="E21" s="23" t="s">
        <v>90</v>
      </c>
      <c r="F21" s="24" t="s">
        <v>50</v>
      </c>
      <c r="G21" s="25"/>
      <c r="H21" s="26">
        <v>0</v>
      </c>
      <c r="L21" s="14"/>
    </row>
    <row r="22" spans="4:20" x14ac:dyDescent="0.3">
      <c r="D22" s="22">
        <v>313</v>
      </c>
      <c r="E22" s="23" t="s">
        <v>88</v>
      </c>
      <c r="F22" s="24" t="s">
        <v>70</v>
      </c>
      <c r="G22" s="25"/>
      <c r="H22" s="26">
        <f>G13+G14+G15+G16</f>
        <v>5363</v>
      </c>
    </row>
    <row r="23" spans="4:20" x14ac:dyDescent="0.3">
      <c r="D23" s="22">
        <v>316</v>
      </c>
      <c r="E23" s="23" t="s">
        <v>63</v>
      </c>
      <c r="F23" s="24" t="s">
        <v>71</v>
      </c>
      <c r="G23" s="25"/>
      <c r="H23" s="26">
        <f>G8+G9</f>
        <v>57408</v>
      </c>
    </row>
    <row r="24" spans="4:20" x14ac:dyDescent="0.3">
      <c r="D24" s="22">
        <v>321</v>
      </c>
      <c r="E24" s="23" t="s">
        <v>96</v>
      </c>
      <c r="F24" s="24" t="s">
        <v>79</v>
      </c>
      <c r="G24" s="25"/>
      <c r="H24" s="61">
        <f>G17</f>
        <v>14016</v>
      </c>
    </row>
    <row r="25" spans="4:20" x14ac:dyDescent="0.3">
      <c r="D25" s="22">
        <v>330</v>
      </c>
      <c r="E25" s="23" t="s">
        <v>58</v>
      </c>
      <c r="F25" s="24" t="s">
        <v>82</v>
      </c>
      <c r="G25" s="25"/>
      <c r="H25" s="26">
        <v>0</v>
      </c>
    </row>
    <row r="26" spans="4:20" x14ac:dyDescent="0.3">
      <c r="D26" s="22">
        <v>331</v>
      </c>
      <c r="E26" s="23" t="s">
        <v>59</v>
      </c>
      <c r="F26" s="24" t="s">
        <v>80</v>
      </c>
      <c r="G26" s="25"/>
      <c r="H26" s="26">
        <v>0</v>
      </c>
    </row>
    <row r="27" spans="4:20" x14ac:dyDescent="0.3">
      <c r="D27" s="27">
        <v>401</v>
      </c>
      <c r="E27" s="28" t="s">
        <v>38</v>
      </c>
      <c r="F27" s="29" t="s">
        <v>83</v>
      </c>
      <c r="G27" s="30"/>
      <c r="H27" s="31">
        <v>0</v>
      </c>
    </row>
    <row r="28" spans="4:20" x14ac:dyDescent="0.3">
      <c r="D28" s="27">
        <v>402</v>
      </c>
      <c r="E28" s="28" t="s">
        <v>92</v>
      </c>
      <c r="F28" s="29" t="s">
        <v>85</v>
      </c>
      <c r="G28" s="30"/>
      <c r="H28" s="31">
        <v>0</v>
      </c>
    </row>
    <row r="29" spans="4:20" x14ac:dyDescent="0.3">
      <c r="D29" s="27">
        <v>405</v>
      </c>
      <c r="E29" s="28" t="s">
        <v>95</v>
      </c>
      <c r="F29" s="29" t="s">
        <v>86</v>
      </c>
      <c r="G29" s="30"/>
      <c r="H29" s="31">
        <v>0</v>
      </c>
    </row>
    <row r="30" spans="4:20" x14ac:dyDescent="0.3">
      <c r="D30" s="27">
        <v>409</v>
      </c>
      <c r="E30" s="28" t="s">
        <v>62</v>
      </c>
      <c r="F30" s="29" t="s">
        <v>37</v>
      </c>
      <c r="G30" s="30"/>
      <c r="H30" s="31">
        <v>0</v>
      </c>
    </row>
    <row r="31" spans="4:20" x14ac:dyDescent="0.3">
      <c r="D31" s="27">
        <v>413</v>
      </c>
      <c r="E31" s="28" t="s">
        <v>93</v>
      </c>
      <c r="F31" s="29" t="s">
        <v>51</v>
      </c>
      <c r="G31" s="30"/>
      <c r="H31" s="31">
        <v>0</v>
      </c>
    </row>
    <row r="32" spans="4:20" x14ac:dyDescent="0.3">
      <c r="D32" s="27">
        <v>416</v>
      </c>
      <c r="E32" s="28" t="s">
        <v>39</v>
      </c>
      <c r="F32" s="29" t="s">
        <v>60</v>
      </c>
      <c r="G32" s="30"/>
      <c r="H32" s="31">
        <v>0</v>
      </c>
    </row>
    <row r="33" spans="4:8" x14ac:dyDescent="0.3">
      <c r="D33" s="27">
        <v>420</v>
      </c>
      <c r="E33" s="28" t="s">
        <v>94</v>
      </c>
      <c r="F33" s="29" t="s">
        <v>61</v>
      </c>
      <c r="G33" s="30"/>
      <c r="H33" s="31">
        <v>0</v>
      </c>
    </row>
    <row r="34" spans="4:8" x14ac:dyDescent="0.3">
      <c r="D34" s="32">
        <v>501</v>
      </c>
      <c r="E34" s="33" t="s">
        <v>40</v>
      </c>
      <c r="F34" s="34" t="s">
        <v>56</v>
      </c>
      <c r="G34" s="35">
        <v>0</v>
      </c>
      <c r="H34" s="36"/>
    </row>
    <row r="35" spans="4:8" x14ac:dyDescent="0.3">
      <c r="D35" s="32">
        <v>502</v>
      </c>
      <c r="E35" s="33" t="s">
        <v>52</v>
      </c>
      <c r="F35" s="34" t="s">
        <v>57</v>
      </c>
      <c r="G35" s="35">
        <v>0</v>
      </c>
      <c r="H35" s="36"/>
    </row>
    <row r="36" spans="4:8" x14ac:dyDescent="0.3">
      <c r="D36" s="32">
        <v>505</v>
      </c>
      <c r="E36" s="33" t="s">
        <v>46</v>
      </c>
      <c r="F36" s="34" t="s">
        <v>90</v>
      </c>
      <c r="G36" s="35">
        <v>0</v>
      </c>
      <c r="H36" s="36"/>
    </row>
    <row r="37" spans="4:8" x14ac:dyDescent="0.3">
      <c r="D37" s="32">
        <v>506</v>
      </c>
      <c r="E37" s="33" t="s">
        <v>47</v>
      </c>
      <c r="F37" s="34" t="s">
        <v>91</v>
      </c>
      <c r="G37" s="35">
        <v>0</v>
      </c>
      <c r="H37" s="36"/>
    </row>
    <row r="38" spans="4:8" x14ac:dyDescent="0.3">
      <c r="D38" s="32">
        <v>510</v>
      </c>
      <c r="E38" s="33" t="s">
        <v>160</v>
      </c>
      <c r="F38" s="34" t="s">
        <v>84</v>
      </c>
      <c r="G38" s="35">
        <v>0</v>
      </c>
      <c r="H38" s="36"/>
    </row>
    <row r="39" spans="4:8" x14ac:dyDescent="0.3">
      <c r="D39" s="32">
        <v>514</v>
      </c>
      <c r="E39" s="33" t="s">
        <v>41</v>
      </c>
      <c r="F39" s="34" t="s">
        <v>87</v>
      </c>
      <c r="G39" s="35">
        <v>0</v>
      </c>
      <c r="H39" s="36"/>
    </row>
    <row r="40" spans="4:8" x14ac:dyDescent="0.3">
      <c r="D40" s="32">
        <v>518</v>
      </c>
      <c r="E40" s="33" t="s">
        <v>43</v>
      </c>
      <c r="F40" s="34" t="s">
        <v>54</v>
      </c>
      <c r="G40" s="35">
        <v>0</v>
      </c>
      <c r="H40" s="36"/>
    </row>
    <row r="41" spans="4:8" x14ac:dyDescent="0.3">
      <c r="D41" s="32">
        <v>525</v>
      </c>
      <c r="E41" s="33" t="s">
        <v>42</v>
      </c>
      <c r="F41" s="34" t="s">
        <v>55</v>
      </c>
      <c r="G41" s="35">
        <v>0</v>
      </c>
      <c r="H41" s="36"/>
    </row>
    <row r="42" spans="4:8" ht="16.2" thickBot="1" x14ac:dyDescent="0.35">
      <c r="D42" s="89">
        <v>530</v>
      </c>
      <c r="E42" s="90" t="s">
        <v>45</v>
      </c>
      <c r="F42" s="91" t="s">
        <v>96</v>
      </c>
      <c r="G42" s="92">
        <v>0</v>
      </c>
      <c r="H42" s="93"/>
    </row>
    <row r="43" spans="4:8" ht="16.2" thickTop="1" x14ac:dyDescent="0.3">
      <c r="D43" s="54"/>
      <c r="E43" s="54"/>
      <c r="F43" s="54" t="s">
        <v>97</v>
      </c>
      <c r="G43" s="54"/>
      <c r="H43" s="54"/>
    </row>
    <row r="44" spans="4:8" x14ac:dyDescent="0.3">
      <c r="F44" s="3" t="s">
        <v>58</v>
      </c>
    </row>
    <row r="45" spans="4:8" x14ac:dyDescent="0.3">
      <c r="F45" s="3" t="s">
        <v>141</v>
      </c>
    </row>
    <row r="46" spans="4:8" x14ac:dyDescent="0.3">
      <c r="F46" s="3" t="s">
        <v>59</v>
      </c>
    </row>
    <row r="47" spans="4:8" x14ac:dyDescent="0.3">
      <c r="F47" s="3" t="s">
        <v>142</v>
      </c>
    </row>
    <row r="48" spans="4:8" x14ac:dyDescent="0.3">
      <c r="F48" s="3" t="s">
        <v>38</v>
      </c>
    </row>
    <row r="49" spans="6:6" x14ac:dyDescent="0.3">
      <c r="F49" s="3" t="s">
        <v>143</v>
      </c>
    </row>
    <row r="50" spans="6:6" x14ac:dyDescent="0.3">
      <c r="F50" s="3" t="s">
        <v>144</v>
      </c>
    </row>
    <row r="51" spans="6:6" x14ac:dyDescent="0.3">
      <c r="F51" s="3" t="s">
        <v>145</v>
      </c>
    </row>
    <row r="52" spans="6:6" x14ac:dyDescent="0.3">
      <c r="F52" s="3" t="s">
        <v>146</v>
      </c>
    </row>
    <row r="53" spans="6:6" x14ac:dyDescent="0.3">
      <c r="F53" s="3" t="s">
        <v>147</v>
      </c>
    </row>
    <row r="54" spans="6:6" x14ac:dyDescent="0.3">
      <c r="F54" s="3" t="s">
        <v>62</v>
      </c>
    </row>
    <row r="55" spans="6:6" x14ac:dyDescent="0.3">
      <c r="F55" s="3" t="s">
        <v>148</v>
      </c>
    </row>
    <row r="56" spans="6:6" x14ac:dyDescent="0.3">
      <c r="F56" s="3" t="s">
        <v>149</v>
      </c>
    </row>
    <row r="57" spans="6:6" x14ac:dyDescent="0.3">
      <c r="F57" s="3" t="s">
        <v>150</v>
      </c>
    </row>
    <row r="58" spans="6:6" x14ac:dyDescent="0.3">
      <c r="F58" s="3" t="s">
        <v>39</v>
      </c>
    </row>
    <row r="59" spans="6:6" x14ac:dyDescent="0.3">
      <c r="F59" s="3" t="s">
        <v>151</v>
      </c>
    </row>
    <row r="60" spans="6:6" x14ac:dyDescent="0.3">
      <c r="F60" s="3" t="s">
        <v>94</v>
      </c>
    </row>
    <row r="61" spans="6:6" x14ac:dyDescent="0.3">
      <c r="F61" s="3" t="s">
        <v>152</v>
      </c>
    </row>
    <row r="62" spans="6:6" x14ac:dyDescent="0.3">
      <c r="F62" s="3" t="s">
        <v>40</v>
      </c>
    </row>
    <row r="63" spans="6:6" x14ac:dyDescent="0.3">
      <c r="F63" s="3" t="s">
        <v>153</v>
      </c>
    </row>
    <row r="64" spans="6:6" x14ac:dyDescent="0.3">
      <c r="F64" s="3" t="s">
        <v>52</v>
      </c>
    </row>
    <row r="65" spans="6:6" x14ac:dyDescent="0.3">
      <c r="F65" s="3" t="s">
        <v>154</v>
      </c>
    </row>
    <row r="66" spans="6:6" x14ac:dyDescent="0.3">
      <c r="F66" s="3" t="s">
        <v>125</v>
      </c>
    </row>
    <row r="67" spans="6:6" x14ac:dyDescent="0.3">
      <c r="F67" s="3" t="s">
        <v>155</v>
      </c>
    </row>
    <row r="68" spans="6:6" x14ac:dyDescent="0.3">
      <c r="F68" s="3" t="s">
        <v>47</v>
      </c>
    </row>
    <row r="69" spans="6:6" x14ac:dyDescent="0.3">
      <c r="F69" s="3" t="s">
        <v>156</v>
      </c>
    </row>
    <row r="70" spans="6:6" x14ac:dyDescent="0.3">
      <c r="F70" s="3" t="s">
        <v>160</v>
      </c>
    </row>
    <row r="71" spans="6:6" x14ac:dyDescent="0.3">
      <c r="F71" s="3" t="s">
        <v>161</v>
      </c>
    </row>
    <row r="72" spans="6:6" x14ac:dyDescent="0.3">
      <c r="F72" s="3" t="s">
        <v>41</v>
      </c>
    </row>
    <row r="73" spans="6:6" x14ac:dyDescent="0.3">
      <c r="F73" s="3" t="s">
        <v>157</v>
      </c>
    </row>
    <row r="74" spans="6:6" x14ac:dyDescent="0.3">
      <c r="F74" s="3" t="s">
        <v>43</v>
      </c>
    </row>
    <row r="75" spans="6:6" x14ac:dyDescent="0.3">
      <c r="F75" s="3" t="s">
        <v>158</v>
      </c>
    </row>
    <row r="76" spans="6:6" x14ac:dyDescent="0.3">
      <c r="F76" s="3" t="s">
        <v>42</v>
      </c>
    </row>
    <row r="77" spans="6:6" x14ac:dyDescent="0.3">
      <c r="F77" s="3" t="s">
        <v>159</v>
      </c>
    </row>
    <row r="78" spans="6:6" x14ac:dyDescent="0.3">
      <c r="F78" s="3" t="s">
        <v>45</v>
      </c>
    </row>
    <row r="79" spans="6:6" x14ac:dyDescent="0.3">
      <c r="F79" s="3" t="s">
        <v>162</v>
      </c>
    </row>
    <row r="81" spans="6:6" x14ac:dyDescent="0.3">
      <c r="F81" s="3" t="s">
        <v>65</v>
      </c>
    </row>
    <row r="82" spans="6:6" x14ac:dyDescent="0.3">
      <c r="F82" s="3" t="s">
        <v>65</v>
      </c>
    </row>
  </sheetData>
  <sortState ref="D6:H42">
    <sortCondition ref="D6"/>
  </sortState>
  <mergeCells count="9">
    <mergeCell ref="F4:F5"/>
    <mergeCell ref="G4:H4"/>
    <mergeCell ref="E4:E5"/>
    <mergeCell ref="D4:D5"/>
    <mergeCell ref="N5:O5"/>
    <mergeCell ref="M5:M6"/>
    <mergeCell ref="L5:L6"/>
    <mergeCell ref="L4:O4"/>
    <mergeCell ref="L11:M11"/>
  </mergeCells>
  <phoneticPr fontId="1" type="noConversion"/>
  <dataValidations count="4">
    <dataValidation type="whole" allowBlank="1" showInputMessage="1" showErrorMessage="1" sqref="L7">
      <formula1>101</formula1>
      <formula2>599</formula2>
    </dataValidation>
    <dataValidation type="decimal" operator="greaterThan" allowBlank="1" showInputMessage="1" showErrorMessage="1" sqref="N7:O7">
      <formula1>0</formula1>
    </dataValidation>
    <dataValidation type="decimal" operator="greaterThanOrEqual" allowBlank="1" showInputMessage="1" showErrorMessage="1" sqref="G23:H24 G44:H1048576 G6:H17 G40:H40 H27:H34 G32:G39 G27:G29 H37 G41">
      <formula1>0</formula1>
    </dataValidation>
    <dataValidation type="list" allowBlank="1" showInputMessage="1" showErrorMessage="1" sqref="L13">
      <formula1>$D6:$D1048576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新增科目">
                <anchor moveWithCells="1" sizeWithCells="1">
                  <from>
                    <xdr:col>16</xdr:col>
                    <xdr:colOff>0</xdr:colOff>
                    <xdr:row>4</xdr:row>
                    <xdr:rowOff>106680</xdr:rowOff>
                  </from>
                  <to>
                    <xdr:col>18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刪除科目">
                <anchor moveWithCells="1" sizeWithCells="1">
                  <from>
                    <xdr:col>13</xdr:col>
                    <xdr:colOff>76200</xdr:colOff>
                    <xdr:row>10</xdr:row>
                    <xdr:rowOff>121920</xdr:rowOff>
                  </from>
                  <to>
                    <xdr:col>15</xdr:col>
                    <xdr:colOff>0</xdr:colOff>
                    <xdr:row>12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DD270"/>
  <sheetViews>
    <sheetView zoomScale="80" zoomScaleNormal="80" workbookViewId="0">
      <pane ySplit="9" topLeftCell="A17" activePane="bottomLeft" state="frozen"/>
      <selection pane="bottomLeft" activeCell="P88" sqref="P88"/>
    </sheetView>
  </sheetViews>
  <sheetFormatPr defaultRowHeight="15.6" x14ac:dyDescent="0.3"/>
  <cols>
    <col min="1" max="1" width="3.88671875" style="3" bestFit="1" customWidth="1"/>
    <col min="2" max="2" width="0" style="3" hidden="1" customWidth="1"/>
    <col min="3" max="3" width="8.88671875" style="3" hidden="1" customWidth="1"/>
    <col min="4" max="5" width="4.109375" style="2" customWidth="1"/>
    <col min="6" max="6" width="25.109375" style="3" bestFit="1" customWidth="1"/>
    <col min="7" max="8" width="12.21875" style="37" bestFit="1" customWidth="1"/>
    <col min="9" max="9" width="6.33203125" style="2" bestFit="1" customWidth="1"/>
    <col min="10" max="11" width="8.88671875" style="3" hidden="1" customWidth="1"/>
    <col min="12" max="12" width="10.33203125" style="3" bestFit="1" customWidth="1"/>
    <col min="13" max="14" width="4.109375" style="2" bestFit="1" customWidth="1"/>
    <col min="15" max="15" width="25.5546875" style="3" bestFit="1" customWidth="1"/>
    <col min="16" max="17" width="12.21875" style="37" bestFit="1" customWidth="1"/>
    <col min="18" max="18" width="6.33203125" style="40" bestFit="1" customWidth="1"/>
    <col min="19" max="20" width="8.88671875" style="3" hidden="1" customWidth="1"/>
    <col min="21" max="21" width="8.88671875" style="3" customWidth="1"/>
    <col min="22" max="23" width="4.109375" style="2" bestFit="1" customWidth="1"/>
    <col min="24" max="24" width="25.5546875" style="3" bestFit="1" customWidth="1"/>
    <col min="25" max="26" width="12.21875" style="37" bestFit="1" customWidth="1"/>
    <col min="27" max="27" width="6.33203125" style="2" bestFit="1" customWidth="1"/>
    <col min="28" max="29" width="8.88671875" style="3" hidden="1" customWidth="1"/>
    <col min="30" max="30" width="8.88671875" style="3" customWidth="1"/>
    <col min="31" max="32" width="4.109375" style="2" bestFit="1" customWidth="1"/>
    <col min="33" max="33" width="23.109375" style="3" bestFit="1" customWidth="1"/>
    <col min="34" max="35" width="12.21875" style="37" bestFit="1" customWidth="1"/>
    <col min="36" max="36" width="6.33203125" style="40" bestFit="1" customWidth="1"/>
    <col min="37" max="38" width="0" style="3" hidden="1" customWidth="1"/>
    <col min="39" max="39" width="8.88671875" style="3"/>
    <col min="40" max="41" width="4.109375" style="40" bestFit="1" customWidth="1"/>
    <col min="42" max="42" width="23.109375" style="3" bestFit="1" customWidth="1"/>
    <col min="43" max="44" width="12.21875" style="37" bestFit="1" customWidth="1"/>
    <col min="45" max="45" width="6.33203125" style="3" bestFit="1" customWidth="1"/>
    <col min="46" max="47" width="0" style="3" hidden="1" customWidth="1"/>
    <col min="48" max="48" width="8.88671875" style="3"/>
    <col min="49" max="50" width="4.109375" style="40" bestFit="1" customWidth="1"/>
    <col min="51" max="51" width="23.109375" style="3" bestFit="1" customWidth="1"/>
    <col min="52" max="53" width="12.21875" style="37" bestFit="1" customWidth="1"/>
    <col min="54" max="54" width="6.33203125" style="3" bestFit="1" customWidth="1"/>
    <col min="55" max="56" width="0" style="3" hidden="1" customWidth="1"/>
    <col min="57" max="57" width="8.88671875" style="3"/>
    <col min="58" max="59" width="4.109375" style="40" bestFit="1" customWidth="1"/>
    <col min="60" max="60" width="23.109375" style="3" bestFit="1" customWidth="1"/>
    <col min="61" max="62" width="12.21875" style="37" bestFit="1" customWidth="1"/>
    <col min="63" max="63" width="6.33203125" style="3" bestFit="1" customWidth="1"/>
    <col min="64" max="65" width="0" style="3" hidden="1" customWidth="1"/>
    <col min="66" max="66" width="8.88671875" style="3"/>
    <col min="67" max="68" width="4.109375" style="40" bestFit="1" customWidth="1"/>
    <col min="69" max="69" width="23.109375" style="3" bestFit="1" customWidth="1"/>
    <col min="70" max="71" width="12.21875" style="37" bestFit="1" customWidth="1"/>
    <col min="72" max="72" width="6.33203125" style="3" bestFit="1" customWidth="1"/>
    <col min="73" max="74" width="0" style="3" hidden="1" customWidth="1"/>
    <col min="75" max="75" width="8.88671875" style="3"/>
    <col min="76" max="77" width="4.109375" style="40" bestFit="1" customWidth="1"/>
    <col min="78" max="78" width="23.109375" style="3" bestFit="1" customWidth="1"/>
    <col min="79" max="80" width="12.21875" style="37" bestFit="1" customWidth="1"/>
    <col min="81" max="81" width="6.33203125" style="40" bestFit="1" customWidth="1"/>
    <col min="82" max="83" width="0" style="3" hidden="1" customWidth="1"/>
    <col min="84" max="84" width="8.88671875" style="3"/>
    <col min="85" max="86" width="4.109375" style="40" bestFit="1" customWidth="1"/>
    <col min="87" max="87" width="23.109375" style="3" bestFit="1" customWidth="1"/>
    <col min="88" max="89" width="12.21875" style="37" bestFit="1" customWidth="1"/>
    <col min="90" max="90" width="6.33203125" style="3" bestFit="1" customWidth="1"/>
    <col min="91" max="92" width="0" style="3" hidden="1" customWidth="1"/>
    <col min="93" max="93" width="8.88671875" style="3"/>
    <col min="94" max="94" width="4.109375" style="2" bestFit="1" customWidth="1"/>
    <col min="95" max="95" width="4.109375" style="40" bestFit="1" customWidth="1"/>
    <col min="96" max="96" width="23.109375" style="3" customWidth="1"/>
    <col min="97" max="98" width="12.21875" style="37" bestFit="1" customWidth="1"/>
    <col min="99" max="99" width="6.33203125" style="3" bestFit="1" customWidth="1"/>
    <col min="100" max="101" width="0" style="3" hidden="1" customWidth="1"/>
    <col min="102" max="102" width="8.88671875" style="3"/>
    <col min="103" max="103" width="4.109375" style="2" bestFit="1" customWidth="1"/>
    <col min="104" max="104" width="4.109375" style="40" bestFit="1" customWidth="1"/>
    <col min="105" max="105" width="23.109375" style="3" customWidth="1"/>
    <col min="106" max="107" width="12.21875" style="37" bestFit="1" customWidth="1"/>
    <col min="108" max="108" width="6.33203125" style="3" bestFit="1" customWidth="1"/>
    <col min="109" max="16384" width="8.88671875" style="3"/>
  </cols>
  <sheetData>
    <row r="1" spans="1:108" hidden="1" x14ac:dyDescent="0.3">
      <c r="A1" s="38" t="s">
        <v>99</v>
      </c>
      <c r="F1" s="39"/>
      <c r="G1" s="3"/>
      <c r="H1" s="3"/>
      <c r="P1" s="3"/>
      <c r="Q1" s="3"/>
      <c r="AH1" s="3"/>
      <c r="AI1" s="3"/>
    </row>
    <row r="2" spans="1:108" hidden="1" x14ac:dyDescent="0.3">
      <c r="G2" s="3"/>
      <c r="H2" s="3"/>
      <c r="P2" s="3"/>
      <c r="Q2" s="3"/>
      <c r="AH2" s="3"/>
      <c r="AI2" s="3"/>
    </row>
    <row r="3" spans="1:108" ht="16.2" hidden="1" customHeight="1" x14ac:dyDescent="0.3">
      <c r="G3" s="3"/>
      <c r="H3" s="3"/>
      <c r="P3" s="3"/>
      <c r="Q3" s="3"/>
      <c r="AH3" s="3"/>
      <c r="AI3" s="3"/>
    </row>
    <row r="4" spans="1:108" ht="16.2" hidden="1" customHeight="1" x14ac:dyDescent="0.3">
      <c r="G4" s="3"/>
      <c r="H4" s="3"/>
      <c r="P4" s="3"/>
      <c r="Q4" s="3"/>
      <c r="AH4" s="3"/>
      <c r="AI4" s="3"/>
    </row>
    <row r="5" spans="1:108" ht="16.2" customHeight="1" x14ac:dyDescent="0.3">
      <c r="A5" s="83" t="s">
        <v>99</v>
      </c>
      <c r="G5" s="3"/>
      <c r="H5" s="3"/>
      <c r="P5" s="3"/>
      <c r="Q5" s="3"/>
      <c r="AH5" s="3"/>
      <c r="AI5" s="3"/>
    </row>
    <row r="6" spans="1:108" ht="16.2" thickBot="1" x14ac:dyDescent="0.35">
      <c r="G6" s="3"/>
      <c r="H6" s="3"/>
      <c r="P6" s="3"/>
      <c r="Q6" s="3"/>
      <c r="AH6" s="3"/>
      <c r="AI6" s="3"/>
    </row>
    <row r="7" spans="1:108" ht="16.2" thickTop="1" x14ac:dyDescent="0.3">
      <c r="D7" s="110" t="s">
        <v>122</v>
      </c>
      <c r="E7" s="130"/>
      <c r="F7" s="128" t="s">
        <v>108</v>
      </c>
      <c r="G7" s="121" t="s">
        <v>107</v>
      </c>
      <c r="H7" s="123" t="s">
        <v>111</v>
      </c>
      <c r="I7" s="125" t="s">
        <v>110</v>
      </c>
      <c r="M7" s="113" t="s">
        <v>121</v>
      </c>
      <c r="N7" s="127"/>
      <c r="O7" s="115" t="s">
        <v>108</v>
      </c>
      <c r="P7" s="121" t="s">
        <v>107</v>
      </c>
      <c r="Q7" s="123" t="s">
        <v>111</v>
      </c>
      <c r="R7" s="125" t="s">
        <v>110</v>
      </c>
      <c r="V7" s="113" t="s">
        <v>120</v>
      </c>
      <c r="W7" s="127"/>
      <c r="X7" s="115" t="s">
        <v>108</v>
      </c>
      <c r="Y7" s="121" t="s">
        <v>107</v>
      </c>
      <c r="Z7" s="123" t="s">
        <v>111</v>
      </c>
      <c r="AA7" s="125" t="s">
        <v>110</v>
      </c>
      <c r="AE7" s="113" t="s">
        <v>119</v>
      </c>
      <c r="AF7" s="127"/>
      <c r="AG7" s="115" t="s">
        <v>108</v>
      </c>
      <c r="AH7" s="121" t="s">
        <v>107</v>
      </c>
      <c r="AI7" s="123" t="s">
        <v>111</v>
      </c>
      <c r="AJ7" s="125" t="s">
        <v>110</v>
      </c>
      <c r="AN7" s="113" t="s">
        <v>118</v>
      </c>
      <c r="AO7" s="127"/>
      <c r="AP7" s="115" t="s">
        <v>108</v>
      </c>
      <c r="AQ7" s="121" t="s">
        <v>107</v>
      </c>
      <c r="AR7" s="123" t="s">
        <v>111</v>
      </c>
      <c r="AS7" s="125" t="s">
        <v>110</v>
      </c>
      <c r="AW7" s="113" t="s">
        <v>117</v>
      </c>
      <c r="AX7" s="127"/>
      <c r="AY7" s="115" t="s">
        <v>108</v>
      </c>
      <c r="AZ7" s="121" t="s">
        <v>107</v>
      </c>
      <c r="BA7" s="123" t="s">
        <v>111</v>
      </c>
      <c r="BB7" s="125" t="s">
        <v>110</v>
      </c>
      <c r="BF7" s="113" t="s">
        <v>116</v>
      </c>
      <c r="BG7" s="127"/>
      <c r="BH7" s="115" t="s">
        <v>108</v>
      </c>
      <c r="BI7" s="121" t="s">
        <v>107</v>
      </c>
      <c r="BJ7" s="123" t="s">
        <v>111</v>
      </c>
      <c r="BK7" s="125" t="s">
        <v>110</v>
      </c>
      <c r="BO7" s="113" t="s">
        <v>115</v>
      </c>
      <c r="BP7" s="127"/>
      <c r="BQ7" s="115" t="s">
        <v>108</v>
      </c>
      <c r="BR7" s="121" t="s">
        <v>107</v>
      </c>
      <c r="BS7" s="123" t="s">
        <v>111</v>
      </c>
      <c r="BT7" s="125" t="s">
        <v>110</v>
      </c>
      <c r="BX7" s="113" t="s">
        <v>114</v>
      </c>
      <c r="BY7" s="127"/>
      <c r="BZ7" s="115" t="s">
        <v>108</v>
      </c>
      <c r="CA7" s="121" t="s">
        <v>107</v>
      </c>
      <c r="CB7" s="123" t="s">
        <v>111</v>
      </c>
      <c r="CC7" s="125" t="s">
        <v>110</v>
      </c>
      <c r="CG7" s="113" t="s">
        <v>113</v>
      </c>
      <c r="CH7" s="127"/>
      <c r="CI7" s="115" t="s">
        <v>108</v>
      </c>
      <c r="CJ7" s="121" t="s">
        <v>107</v>
      </c>
      <c r="CK7" s="123" t="s">
        <v>111</v>
      </c>
      <c r="CL7" s="125" t="s">
        <v>110</v>
      </c>
      <c r="CP7" s="113" t="s">
        <v>112</v>
      </c>
      <c r="CQ7" s="127"/>
      <c r="CR7" s="115" t="s">
        <v>108</v>
      </c>
      <c r="CS7" s="121" t="s">
        <v>107</v>
      </c>
      <c r="CT7" s="123" t="s">
        <v>111</v>
      </c>
      <c r="CU7" s="125" t="s">
        <v>110</v>
      </c>
      <c r="CY7" s="113" t="s">
        <v>109</v>
      </c>
      <c r="CZ7" s="127"/>
      <c r="DA7" s="115" t="s">
        <v>108</v>
      </c>
      <c r="DB7" s="121" t="s">
        <v>107</v>
      </c>
      <c r="DC7" s="123" t="s">
        <v>106</v>
      </c>
      <c r="DD7" s="125" t="s">
        <v>105</v>
      </c>
    </row>
    <row r="8" spans="1:108" x14ac:dyDescent="0.3">
      <c r="D8" s="46" t="s">
        <v>104</v>
      </c>
      <c r="E8" s="47" t="s">
        <v>103</v>
      </c>
      <c r="F8" s="129"/>
      <c r="G8" s="122"/>
      <c r="H8" s="124"/>
      <c r="I8" s="126"/>
      <c r="M8" s="46" t="s">
        <v>104</v>
      </c>
      <c r="N8" s="47" t="s">
        <v>103</v>
      </c>
      <c r="O8" s="116"/>
      <c r="P8" s="122"/>
      <c r="Q8" s="124"/>
      <c r="R8" s="126"/>
      <c r="V8" s="46" t="s">
        <v>104</v>
      </c>
      <c r="W8" s="47" t="s">
        <v>103</v>
      </c>
      <c r="X8" s="116"/>
      <c r="Y8" s="122"/>
      <c r="Z8" s="124"/>
      <c r="AA8" s="126"/>
      <c r="AE8" s="46" t="s">
        <v>104</v>
      </c>
      <c r="AF8" s="47" t="s">
        <v>103</v>
      </c>
      <c r="AG8" s="116"/>
      <c r="AH8" s="122"/>
      <c r="AI8" s="124"/>
      <c r="AJ8" s="126"/>
      <c r="AN8" s="46" t="s">
        <v>104</v>
      </c>
      <c r="AO8" s="47" t="s">
        <v>103</v>
      </c>
      <c r="AP8" s="116"/>
      <c r="AQ8" s="122"/>
      <c r="AR8" s="124"/>
      <c r="AS8" s="126"/>
      <c r="AW8" s="46" t="s">
        <v>104</v>
      </c>
      <c r="AX8" s="47" t="s">
        <v>103</v>
      </c>
      <c r="AY8" s="116"/>
      <c r="AZ8" s="122"/>
      <c r="BA8" s="124"/>
      <c r="BB8" s="126"/>
      <c r="BF8" s="46" t="s">
        <v>104</v>
      </c>
      <c r="BG8" s="47" t="s">
        <v>103</v>
      </c>
      <c r="BH8" s="116"/>
      <c r="BI8" s="122"/>
      <c r="BJ8" s="124"/>
      <c r="BK8" s="126"/>
      <c r="BO8" s="46" t="s">
        <v>104</v>
      </c>
      <c r="BP8" s="47" t="s">
        <v>103</v>
      </c>
      <c r="BQ8" s="116"/>
      <c r="BR8" s="122"/>
      <c r="BS8" s="124"/>
      <c r="BT8" s="126"/>
      <c r="BX8" s="46" t="s">
        <v>104</v>
      </c>
      <c r="BY8" s="47" t="s">
        <v>103</v>
      </c>
      <c r="BZ8" s="116"/>
      <c r="CA8" s="122"/>
      <c r="CB8" s="124"/>
      <c r="CC8" s="126"/>
      <c r="CG8" s="46" t="s">
        <v>104</v>
      </c>
      <c r="CH8" s="47" t="s">
        <v>103</v>
      </c>
      <c r="CI8" s="116"/>
      <c r="CJ8" s="122"/>
      <c r="CK8" s="124"/>
      <c r="CL8" s="126"/>
      <c r="CP8" s="46" t="s">
        <v>104</v>
      </c>
      <c r="CQ8" s="47" t="s">
        <v>103</v>
      </c>
      <c r="CR8" s="116"/>
      <c r="CS8" s="122"/>
      <c r="CT8" s="124"/>
      <c r="CU8" s="126"/>
      <c r="CY8" s="46" t="s">
        <v>104</v>
      </c>
      <c r="CZ8" s="47" t="s">
        <v>103</v>
      </c>
      <c r="DA8" s="116"/>
      <c r="DB8" s="122"/>
      <c r="DC8" s="124"/>
      <c r="DD8" s="126"/>
    </row>
    <row r="9" spans="1:108" x14ac:dyDescent="0.3">
      <c r="D9" s="41" t="s">
        <v>101</v>
      </c>
      <c r="E9" s="42" t="s">
        <v>101</v>
      </c>
      <c r="F9" s="43"/>
      <c r="G9" s="44">
        <f>SUM(G10:G1048576)</f>
        <v>28486</v>
      </c>
      <c r="H9" s="44">
        <f>SUM(H10:H1048576)</f>
        <v>28486</v>
      </c>
      <c r="I9" s="45" t="s">
        <v>102</v>
      </c>
      <c r="M9" s="41" t="s">
        <v>101</v>
      </c>
      <c r="N9" s="42" t="s">
        <v>101</v>
      </c>
      <c r="O9" s="43"/>
      <c r="P9" s="44">
        <f>SUM(P10:P1048576)</f>
        <v>14606</v>
      </c>
      <c r="Q9" s="44">
        <f>SUM(Q10:Q1048576)</f>
        <v>14606</v>
      </c>
      <c r="R9" s="45" t="s">
        <v>102</v>
      </c>
      <c r="V9" s="41" t="s">
        <v>101</v>
      </c>
      <c r="W9" s="42" t="s">
        <v>101</v>
      </c>
      <c r="X9" s="43"/>
      <c r="Y9" s="44">
        <f>SUM(Y10:Y1048576)</f>
        <v>0</v>
      </c>
      <c r="Z9" s="44">
        <f>SUM(Z10:Z1048576)</f>
        <v>0</v>
      </c>
      <c r="AA9" s="45" t="s">
        <v>102</v>
      </c>
      <c r="AE9" s="41" t="s">
        <v>101</v>
      </c>
      <c r="AF9" s="42" t="s">
        <v>101</v>
      </c>
      <c r="AG9" s="43"/>
      <c r="AH9" s="44">
        <f>SUM(AH10:AH1048576)</f>
        <v>0</v>
      </c>
      <c r="AI9" s="44">
        <f>SUM(AI10:AI1048576)</f>
        <v>0</v>
      </c>
      <c r="AJ9" s="45" t="s">
        <v>102</v>
      </c>
      <c r="AN9" s="41" t="s">
        <v>101</v>
      </c>
      <c r="AO9" s="42" t="s">
        <v>101</v>
      </c>
      <c r="AP9" s="43"/>
      <c r="AQ9" s="44">
        <f>SUM(AQ10:AQ1048576)</f>
        <v>0</v>
      </c>
      <c r="AR9" s="44">
        <f>SUM(AR10:AR1048576)</f>
        <v>0</v>
      </c>
      <c r="AS9" s="45" t="s">
        <v>102</v>
      </c>
      <c r="AW9" s="41" t="s">
        <v>101</v>
      </c>
      <c r="AX9" s="42" t="s">
        <v>101</v>
      </c>
      <c r="AY9" s="43"/>
      <c r="AZ9" s="44">
        <f>SUM(AZ10:AZ1048576)</f>
        <v>0</v>
      </c>
      <c r="BA9" s="44">
        <f>SUM(BA10:BA1048576)</f>
        <v>0</v>
      </c>
      <c r="BB9" s="45" t="s">
        <v>102</v>
      </c>
      <c r="BF9" s="41" t="s">
        <v>101</v>
      </c>
      <c r="BG9" s="42" t="s">
        <v>101</v>
      </c>
      <c r="BH9" s="43"/>
      <c r="BI9" s="44">
        <f>SUM(BI10:BI1048576)</f>
        <v>0</v>
      </c>
      <c r="BJ9" s="44">
        <f>SUM(BJ10:BJ1048576)</f>
        <v>0</v>
      </c>
      <c r="BK9" s="45" t="s">
        <v>102</v>
      </c>
      <c r="BO9" s="41" t="s">
        <v>101</v>
      </c>
      <c r="BP9" s="42" t="s">
        <v>101</v>
      </c>
      <c r="BQ9" s="43"/>
      <c r="BR9" s="44">
        <f>SUM(BR10:BR1048576)</f>
        <v>0</v>
      </c>
      <c r="BS9" s="44">
        <f>SUM(BS10:BS1048576)</f>
        <v>0</v>
      </c>
      <c r="BT9" s="45" t="s">
        <v>102</v>
      </c>
      <c r="BX9" s="41" t="s">
        <v>101</v>
      </c>
      <c r="BY9" s="42" t="s">
        <v>101</v>
      </c>
      <c r="BZ9" s="43"/>
      <c r="CA9" s="44">
        <f>SUM(CA10:CA1048576)</f>
        <v>0</v>
      </c>
      <c r="CB9" s="44">
        <f>SUM(CB10:CB1048576)</f>
        <v>0</v>
      </c>
      <c r="CC9" s="45" t="s">
        <v>102</v>
      </c>
      <c r="CG9" s="41" t="s">
        <v>101</v>
      </c>
      <c r="CH9" s="42" t="s">
        <v>101</v>
      </c>
      <c r="CI9" s="43"/>
      <c r="CJ9" s="44">
        <f>SUM(CJ10:CJ1048576)</f>
        <v>0</v>
      </c>
      <c r="CK9" s="44">
        <f>SUM(CK10:CK1048576)</f>
        <v>0</v>
      </c>
      <c r="CL9" s="45" t="s">
        <v>102</v>
      </c>
      <c r="CP9" s="41" t="s">
        <v>101</v>
      </c>
      <c r="CQ9" s="42" t="s">
        <v>101</v>
      </c>
      <c r="CR9" s="43"/>
      <c r="CS9" s="44">
        <f>SUM(CS10:CS1048576)</f>
        <v>0</v>
      </c>
      <c r="CT9" s="44">
        <f>SUM(CT10:CT1048576)</f>
        <v>0</v>
      </c>
      <c r="CU9" s="45" t="s">
        <v>102</v>
      </c>
      <c r="CY9" s="41" t="s">
        <v>101</v>
      </c>
      <c r="CZ9" s="42" t="s">
        <v>101</v>
      </c>
      <c r="DA9" s="43"/>
      <c r="DB9" s="44">
        <f>SUM(DB10:DB1048576)</f>
        <v>0</v>
      </c>
      <c r="DC9" s="44">
        <f>SUM(DC10:DC1048576)</f>
        <v>0</v>
      </c>
      <c r="DD9" s="45" t="s">
        <v>100</v>
      </c>
    </row>
    <row r="10" spans="1:108" ht="16.2" thickBot="1" x14ac:dyDescent="0.35">
      <c r="D10" s="69">
        <v>9</v>
      </c>
      <c r="E10" s="81">
        <v>12</v>
      </c>
      <c r="F10" s="70" t="s">
        <v>126</v>
      </c>
      <c r="G10" s="48">
        <v>116</v>
      </c>
      <c r="H10" s="48"/>
      <c r="I10" s="71"/>
      <c r="M10" s="69">
        <v>10</v>
      </c>
      <c r="N10" s="81">
        <v>1</v>
      </c>
      <c r="O10" s="70" t="s">
        <v>241</v>
      </c>
      <c r="P10" s="48">
        <v>100</v>
      </c>
      <c r="Q10" s="48"/>
      <c r="R10" s="71"/>
      <c r="V10" s="66"/>
      <c r="W10" s="82"/>
      <c r="X10" s="67"/>
      <c r="Y10" s="12"/>
      <c r="Z10" s="12"/>
      <c r="AA10" s="68"/>
      <c r="AE10" s="3"/>
      <c r="AF10" s="3"/>
      <c r="AH10" s="3"/>
      <c r="AI10" s="3"/>
      <c r="AJ10" s="3"/>
      <c r="AN10" s="3"/>
      <c r="AO10" s="3"/>
      <c r="AQ10" s="3"/>
      <c r="AR10" s="3"/>
      <c r="AW10" s="3"/>
      <c r="AX10" s="3"/>
      <c r="AZ10" s="3"/>
      <c r="BA10" s="3"/>
      <c r="BF10" s="3"/>
      <c r="BG10" s="3"/>
      <c r="BI10" s="3"/>
      <c r="BJ10" s="3"/>
      <c r="BO10" s="3"/>
      <c r="BP10" s="3"/>
      <c r="BR10" s="3"/>
      <c r="BS10" s="3"/>
      <c r="BX10" s="3"/>
      <c r="BY10" s="3"/>
      <c r="CA10" s="3"/>
      <c r="CB10" s="3"/>
      <c r="CC10" s="3"/>
      <c r="CG10" s="3"/>
      <c r="CH10" s="3"/>
      <c r="CJ10" s="3"/>
      <c r="CK10" s="3"/>
      <c r="CP10" s="3"/>
      <c r="CQ10" s="3"/>
      <c r="CS10" s="3"/>
      <c r="CT10" s="3"/>
      <c r="CY10" s="3"/>
      <c r="CZ10" s="3"/>
      <c r="DB10" s="3"/>
      <c r="DC10" s="3"/>
    </row>
    <row r="11" spans="1:108" ht="16.8" thickTop="1" x14ac:dyDescent="0.3">
      <c r="D11" s="69"/>
      <c r="E11" s="81"/>
      <c r="F11" s="70" t="s">
        <v>163</v>
      </c>
      <c r="G11" s="48"/>
      <c r="H11" s="48">
        <v>116</v>
      </c>
      <c r="I11" s="71"/>
      <c r="M11" s="69"/>
      <c r="N11" s="81"/>
      <c r="O11" s="70" t="s">
        <v>242</v>
      </c>
      <c r="P11" s="48"/>
      <c r="Q11" s="48">
        <v>100</v>
      </c>
      <c r="R11" s="71"/>
      <c r="V11" s="40" t="s">
        <v>14</v>
      </c>
      <c r="W11"/>
      <c r="X11"/>
      <c r="Y11"/>
      <c r="Z11"/>
      <c r="AA11"/>
      <c r="AE11" s="3"/>
      <c r="AF11" s="3"/>
      <c r="AH11" s="3"/>
      <c r="AI11" s="3"/>
      <c r="AJ11" s="3"/>
      <c r="AN11" s="3"/>
      <c r="AO11" s="3"/>
      <c r="AQ11" s="3"/>
      <c r="AR11" s="3"/>
      <c r="AW11" s="3"/>
      <c r="AX11" s="3"/>
      <c r="AZ11" s="3"/>
      <c r="BA11" s="3"/>
      <c r="BF11" s="3"/>
      <c r="BG11" s="3"/>
      <c r="BI11" s="3"/>
      <c r="BJ11" s="3"/>
      <c r="BO11" s="3"/>
      <c r="BP11" s="3"/>
      <c r="BR11" s="3"/>
      <c r="BS11" s="3"/>
      <c r="BX11" s="3"/>
      <c r="BY11" s="3"/>
      <c r="CA11" s="3"/>
      <c r="CB11" s="3"/>
      <c r="CC11" s="3"/>
      <c r="CG11" s="3"/>
      <c r="CH11" s="3"/>
      <c r="CJ11" s="3"/>
      <c r="CK11" s="3"/>
      <c r="CP11" s="3"/>
      <c r="CQ11" s="3"/>
      <c r="CS11" s="3"/>
      <c r="CT11" s="3"/>
      <c r="CY11" s="3"/>
      <c r="CZ11" s="3"/>
      <c r="DB11" s="3"/>
      <c r="DC11" s="3"/>
    </row>
    <row r="12" spans="1:108" ht="16.2" x14ac:dyDescent="0.3">
      <c r="D12" s="69"/>
      <c r="E12" s="83" t="s">
        <v>99</v>
      </c>
      <c r="F12" s="70" t="s">
        <v>127</v>
      </c>
      <c r="G12" s="48">
        <v>50</v>
      </c>
      <c r="H12" s="48"/>
      <c r="I12" s="71"/>
      <c r="M12" s="69"/>
      <c r="N12" s="83" t="s">
        <v>99</v>
      </c>
      <c r="O12" s="70" t="s">
        <v>240</v>
      </c>
      <c r="P12" s="48">
        <f>(62+16)+(16+67)</f>
        <v>161</v>
      </c>
      <c r="Q12" s="48"/>
      <c r="R12" s="71"/>
      <c r="V12"/>
      <c r="W12"/>
      <c r="X12"/>
      <c r="Y12"/>
      <c r="Z12"/>
      <c r="AA12"/>
      <c r="AE12" s="3"/>
      <c r="AF12" s="3"/>
      <c r="AH12" s="3"/>
      <c r="AI12" s="3"/>
      <c r="AJ12" s="3"/>
      <c r="AN12" s="3"/>
      <c r="AO12" s="3"/>
      <c r="AQ12" s="3"/>
      <c r="AR12" s="3"/>
      <c r="AW12" s="3"/>
      <c r="AX12" s="3"/>
      <c r="AZ12" s="3"/>
      <c r="BA12" s="3"/>
      <c r="BF12" s="3"/>
      <c r="BG12" s="3"/>
      <c r="BI12" s="3"/>
      <c r="BJ12" s="3"/>
      <c r="BO12" s="3"/>
      <c r="BP12" s="3"/>
      <c r="BR12" s="3"/>
      <c r="BS12" s="3"/>
      <c r="BX12" s="3"/>
      <c r="BY12" s="3"/>
      <c r="CA12" s="3"/>
      <c r="CB12" s="3"/>
      <c r="CC12" s="3"/>
      <c r="CG12" s="3"/>
      <c r="CH12" s="3"/>
      <c r="CJ12" s="3"/>
      <c r="CK12" s="3"/>
      <c r="CP12" s="3"/>
      <c r="CQ12" s="3"/>
      <c r="CS12" s="3"/>
      <c r="CT12" s="3"/>
      <c r="CY12" s="3"/>
      <c r="CZ12" s="3"/>
      <c r="DB12" s="3"/>
      <c r="DC12" s="3"/>
    </row>
    <row r="13" spans="1:108" ht="16.2" x14ac:dyDescent="0.3">
      <c r="D13" s="69"/>
      <c r="E13" s="81"/>
      <c r="F13" s="70" t="s">
        <v>128</v>
      </c>
      <c r="G13" s="48"/>
      <c r="H13" s="48">
        <v>50</v>
      </c>
      <c r="I13" s="71"/>
      <c r="M13" s="69"/>
      <c r="N13" s="81"/>
      <c r="O13" s="70" t="s">
        <v>243</v>
      </c>
      <c r="P13" s="48"/>
      <c r="Q13" s="48">
        <v>161</v>
      </c>
      <c r="R13" s="71"/>
      <c r="V13"/>
      <c r="W13"/>
      <c r="X13"/>
      <c r="Y13"/>
      <c r="Z13"/>
      <c r="AA13"/>
      <c r="AE13" s="3"/>
      <c r="AF13" s="3"/>
      <c r="AH13" s="3"/>
      <c r="AI13" s="3"/>
      <c r="AJ13" s="3"/>
      <c r="AN13" s="3"/>
      <c r="AO13" s="3"/>
      <c r="AQ13" s="3"/>
      <c r="AR13" s="3"/>
      <c r="AW13" s="3"/>
      <c r="AX13" s="3"/>
      <c r="AZ13" s="3"/>
      <c r="BA13" s="3"/>
      <c r="BF13" s="3"/>
      <c r="BG13" s="3"/>
      <c r="BI13" s="3"/>
      <c r="BJ13" s="3"/>
      <c r="BO13" s="3"/>
      <c r="BP13" s="3"/>
      <c r="BR13" s="3"/>
      <c r="BS13" s="3"/>
      <c r="BX13" s="3"/>
      <c r="BY13" s="3"/>
      <c r="CA13" s="3"/>
      <c r="CB13" s="3"/>
      <c r="CC13" s="3"/>
      <c r="CG13" s="3"/>
      <c r="CH13" s="3"/>
      <c r="CJ13" s="3"/>
      <c r="CK13" s="3"/>
      <c r="CP13" s="3"/>
      <c r="CQ13" s="3"/>
      <c r="CS13" s="3"/>
      <c r="CT13" s="3"/>
      <c r="CY13" s="3"/>
      <c r="CZ13" s="3"/>
      <c r="DB13" s="3"/>
      <c r="DC13" s="3"/>
    </row>
    <row r="14" spans="1:108" ht="16.2" x14ac:dyDescent="0.3">
      <c r="D14" s="69"/>
      <c r="E14" s="83" t="s">
        <v>99</v>
      </c>
      <c r="F14" s="70" t="s">
        <v>129</v>
      </c>
      <c r="G14" s="48">
        <v>2800</v>
      </c>
      <c r="H14" s="48"/>
      <c r="I14" s="71"/>
      <c r="M14" s="69"/>
      <c r="N14" s="83" t="s">
        <v>99</v>
      </c>
      <c r="O14" s="70" t="s">
        <v>228</v>
      </c>
      <c r="P14" s="48">
        <v>121</v>
      </c>
      <c r="Q14" s="48"/>
      <c r="R14" s="71"/>
      <c r="V14"/>
      <c r="W14"/>
      <c r="X14"/>
      <c r="Y14"/>
      <c r="Z14"/>
      <c r="AA14"/>
      <c r="AE14" s="3"/>
      <c r="AF14" s="3"/>
      <c r="AH14" s="3"/>
      <c r="AI14" s="3"/>
      <c r="AJ14" s="3"/>
      <c r="AN14" s="3"/>
      <c r="AO14" s="3"/>
      <c r="AQ14" s="3"/>
      <c r="AR14" s="3"/>
      <c r="AW14" s="3"/>
      <c r="AX14" s="3"/>
      <c r="AZ14" s="3"/>
      <c r="BA14" s="3"/>
      <c r="BF14" s="3"/>
      <c r="BG14" s="3"/>
      <c r="BI14" s="3"/>
      <c r="BJ14" s="3"/>
      <c r="BO14" s="3"/>
      <c r="BP14" s="3"/>
      <c r="BR14" s="3"/>
      <c r="BS14" s="3"/>
      <c r="BX14" s="3"/>
      <c r="BY14" s="3"/>
      <c r="CA14" s="3"/>
      <c r="CB14" s="3"/>
      <c r="CC14" s="3"/>
      <c r="CG14" s="3"/>
      <c r="CH14" s="3"/>
      <c r="CJ14" s="3"/>
      <c r="CK14" s="3"/>
      <c r="CP14" s="3"/>
      <c r="CQ14" s="3"/>
      <c r="CS14" s="3"/>
      <c r="CT14" s="3"/>
      <c r="CY14" s="3"/>
      <c r="CZ14" s="3"/>
      <c r="DB14" s="3"/>
      <c r="DC14" s="3"/>
    </row>
    <row r="15" spans="1:108" ht="16.2" x14ac:dyDescent="0.3">
      <c r="D15" s="69"/>
      <c r="E15" s="81"/>
      <c r="F15" s="70" t="s">
        <v>130</v>
      </c>
      <c r="G15" s="48">
        <v>28</v>
      </c>
      <c r="H15" s="48"/>
      <c r="I15" s="71"/>
      <c r="M15" s="69"/>
      <c r="N15" s="81"/>
      <c r="O15" s="70" t="s">
        <v>242</v>
      </c>
      <c r="P15" s="48"/>
      <c r="Q15" s="48">
        <v>121</v>
      </c>
      <c r="R15" s="71"/>
      <c r="V15"/>
      <c r="W15"/>
      <c r="X15"/>
      <c r="Y15"/>
      <c r="Z15"/>
      <c r="AA15"/>
      <c r="AE15" s="3"/>
      <c r="AF15" s="3"/>
      <c r="AH15" s="3"/>
      <c r="AI15" s="3"/>
      <c r="AJ15" s="3"/>
      <c r="AN15" s="3"/>
      <c r="AO15" s="3"/>
      <c r="AQ15" s="3"/>
      <c r="AR15" s="3"/>
      <c r="AW15" s="3"/>
      <c r="AX15" s="3"/>
      <c r="AZ15" s="3"/>
      <c r="BA15" s="3"/>
      <c r="BF15" s="3"/>
      <c r="BG15" s="3"/>
      <c r="BI15" s="3"/>
      <c r="BJ15" s="3"/>
      <c r="BO15" s="3"/>
      <c r="BP15" s="3"/>
      <c r="BR15" s="3"/>
      <c r="BS15" s="3"/>
      <c r="BX15" s="3"/>
      <c r="BY15" s="3"/>
      <c r="CA15" s="3"/>
      <c r="CB15" s="3"/>
      <c r="CC15" s="3"/>
      <c r="CG15" s="3"/>
      <c r="CH15" s="3"/>
      <c r="CJ15" s="3"/>
      <c r="CK15" s="3"/>
      <c r="CP15" s="3"/>
      <c r="CQ15" s="3"/>
      <c r="CS15" s="3"/>
      <c r="CT15" s="3"/>
      <c r="CY15" s="3"/>
      <c r="CZ15" s="3"/>
      <c r="DB15" s="3"/>
      <c r="DC15" s="3"/>
    </row>
    <row r="16" spans="1:108" ht="16.2" x14ac:dyDescent="0.3">
      <c r="D16" s="69"/>
      <c r="E16" s="81"/>
      <c r="F16" s="70" t="s">
        <v>131</v>
      </c>
      <c r="G16" s="48"/>
      <c r="H16" s="48">
        <v>2828</v>
      </c>
      <c r="I16" s="71"/>
      <c r="M16" s="69"/>
      <c r="N16" s="83" t="s">
        <v>99</v>
      </c>
      <c r="O16" s="70" t="s">
        <v>244</v>
      </c>
      <c r="P16" s="48">
        <v>100</v>
      </c>
      <c r="Q16" s="48"/>
      <c r="R16" s="71"/>
      <c r="V16"/>
      <c r="W16"/>
      <c r="X16"/>
      <c r="Y16"/>
      <c r="Z16"/>
      <c r="AA16"/>
      <c r="AE16" s="3"/>
      <c r="AF16" s="3"/>
      <c r="AH16" s="3"/>
      <c r="AI16" s="3"/>
      <c r="AJ16" s="3"/>
      <c r="AN16" s="3"/>
      <c r="AO16" s="3"/>
      <c r="AQ16" s="3"/>
      <c r="AR16" s="3"/>
      <c r="AW16" s="3"/>
      <c r="AX16" s="3"/>
      <c r="AZ16" s="3"/>
      <c r="BA16" s="3"/>
      <c r="BF16" s="3"/>
      <c r="BG16" s="3"/>
      <c r="BI16" s="3"/>
      <c r="BJ16" s="3"/>
      <c r="BO16" s="3"/>
      <c r="BP16" s="3"/>
      <c r="BR16" s="3"/>
      <c r="BS16" s="3"/>
      <c r="BX16" s="3"/>
      <c r="BY16" s="3"/>
      <c r="CA16" s="3"/>
      <c r="CB16" s="3"/>
      <c r="CC16" s="3"/>
      <c r="CG16" s="3"/>
      <c r="CH16" s="3"/>
      <c r="CJ16" s="3"/>
      <c r="CK16" s="3"/>
      <c r="CP16" s="3"/>
      <c r="CQ16" s="3"/>
      <c r="CS16" s="3"/>
      <c r="CT16" s="3"/>
      <c r="CY16" s="3"/>
      <c r="CZ16" s="3"/>
      <c r="DB16" s="3"/>
      <c r="DC16" s="3"/>
    </row>
    <row r="17" spans="4:107" ht="16.2" x14ac:dyDescent="0.3">
      <c r="D17" s="69"/>
      <c r="E17" s="83" t="s">
        <v>99</v>
      </c>
      <c r="F17" s="70" t="s">
        <v>132</v>
      </c>
      <c r="G17" s="48">
        <v>116</v>
      </c>
      <c r="H17" s="48"/>
      <c r="I17" s="71"/>
      <c r="M17" s="69"/>
      <c r="N17" s="81"/>
      <c r="O17" s="70" t="s">
        <v>245</v>
      </c>
      <c r="P17" s="48"/>
      <c r="Q17" s="48">
        <v>100</v>
      </c>
      <c r="R17" s="71"/>
      <c r="V17"/>
      <c r="W17"/>
      <c r="X17"/>
      <c r="Y17"/>
      <c r="Z17"/>
      <c r="AA17"/>
      <c r="AE17" s="3"/>
      <c r="AF17" s="3"/>
      <c r="AH17" s="3"/>
      <c r="AI17" s="3"/>
      <c r="AJ17" s="3"/>
      <c r="AN17" s="3"/>
      <c r="AO17" s="3"/>
      <c r="AQ17" s="3"/>
      <c r="AR17" s="3"/>
      <c r="AW17" s="3"/>
      <c r="AX17" s="3"/>
      <c r="AZ17" s="3"/>
      <c r="BA17" s="3"/>
      <c r="BF17" s="3"/>
      <c r="BG17" s="3"/>
      <c r="BI17" s="3"/>
      <c r="BJ17" s="3"/>
      <c r="BO17" s="3"/>
      <c r="BP17" s="3"/>
      <c r="BR17" s="3"/>
      <c r="BS17" s="3"/>
      <c r="BX17" s="3"/>
      <c r="BY17" s="3"/>
      <c r="CA17" s="3"/>
      <c r="CB17" s="3"/>
      <c r="CC17" s="3"/>
      <c r="CG17" s="3"/>
      <c r="CH17" s="3"/>
      <c r="CJ17" s="3"/>
      <c r="CK17" s="3"/>
      <c r="CP17" s="3"/>
      <c r="CQ17" s="3"/>
      <c r="CS17" s="3"/>
      <c r="CT17" s="3"/>
      <c r="CY17" s="3"/>
      <c r="CZ17" s="3"/>
      <c r="DB17" s="3"/>
      <c r="DC17" s="3"/>
    </row>
    <row r="18" spans="4:107" ht="16.2" x14ac:dyDescent="0.3">
      <c r="D18" s="69"/>
      <c r="E18" s="81"/>
      <c r="F18" s="70" t="s">
        <v>133</v>
      </c>
      <c r="G18" s="48">
        <v>78</v>
      </c>
      <c r="H18" s="48"/>
      <c r="I18" s="71"/>
      <c r="M18" s="69"/>
      <c r="N18" s="83" t="s">
        <v>99</v>
      </c>
      <c r="O18" s="70" t="s">
        <v>246</v>
      </c>
      <c r="P18" s="48">
        <v>161</v>
      </c>
      <c r="Q18" s="48"/>
      <c r="R18" s="71"/>
      <c r="V18"/>
      <c r="W18"/>
      <c r="X18"/>
      <c r="Y18"/>
      <c r="Z18"/>
      <c r="AA18"/>
      <c r="AE18" s="3"/>
      <c r="AF18" s="3"/>
      <c r="AH18" s="3"/>
      <c r="AI18" s="3"/>
      <c r="AJ18" s="3"/>
      <c r="AN18" s="3"/>
      <c r="AO18" s="3"/>
      <c r="AQ18" s="3"/>
      <c r="AR18" s="3"/>
      <c r="AW18" s="3"/>
      <c r="AX18" s="3"/>
      <c r="AZ18" s="3"/>
      <c r="BA18" s="3"/>
      <c r="BF18" s="3"/>
      <c r="BG18" s="3"/>
      <c r="BI18" s="3"/>
      <c r="BJ18" s="3"/>
      <c r="BO18" s="3"/>
      <c r="BP18" s="3"/>
      <c r="BR18" s="3"/>
      <c r="BS18" s="3"/>
      <c r="BX18" s="3"/>
      <c r="BY18" s="3"/>
      <c r="CA18" s="3"/>
      <c r="CB18" s="3"/>
      <c r="CC18" s="3"/>
      <c r="CG18" s="3"/>
      <c r="CH18" s="3"/>
      <c r="CJ18" s="3"/>
      <c r="CK18" s="3"/>
      <c r="CP18" s="3"/>
      <c r="CQ18" s="3"/>
      <c r="CS18" s="3"/>
      <c r="CT18" s="3"/>
      <c r="CY18" s="3"/>
      <c r="CZ18" s="3"/>
      <c r="DB18" s="3"/>
      <c r="DC18" s="3"/>
    </row>
    <row r="19" spans="4:107" ht="16.2" x14ac:dyDescent="0.3">
      <c r="D19" s="69"/>
      <c r="E19" s="81"/>
      <c r="F19" s="70" t="s">
        <v>134</v>
      </c>
      <c r="G19" s="48"/>
      <c r="H19" s="48">
        <v>194</v>
      </c>
      <c r="I19" s="71"/>
      <c r="M19" s="69"/>
      <c r="N19" s="81"/>
      <c r="O19" s="70" t="s">
        <v>244</v>
      </c>
      <c r="P19" s="48">
        <v>121</v>
      </c>
      <c r="Q19" s="48"/>
      <c r="R19" s="71"/>
      <c r="V19"/>
      <c r="W19"/>
      <c r="X19"/>
      <c r="Y19"/>
      <c r="Z19"/>
      <c r="AA19"/>
      <c r="AE19" s="3"/>
      <c r="AF19" s="3"/>
      <c r="AH19" s="3"/>
      <c r="AI19" s="3"/>
      <c r="AJ19" s="3"/>
      <c r="AN19" s="3"/>
      <c r="AO19" s="3"/>
      <c r="AQ19" s="3"/>
      <c r="AR19" s="3"/>
      <c r="AW19" s="3"/>
      <c r="AX19" s="3"/>
      <c r="AZ19" s="3"/>
      <c r="BA19" s="3"/>
      <c r="BF19" s="3"/>
      <c r="BG19" s="3"/>
      <c r="BI19" s="3"/>
      <c r="BJ19" s="3"/>
      <c r="BO19" s="3"/>
      <c r="BP19" s="3"/>
      <c r="BR19" s="3"/>
      <c r="BS19" s="3"/>
      <c r="BX19" s="3"/>
      <c r="BY19" s="3"/>
      <c r="CA19" s="3"/>
      <c r="CB19" s="3"/>
      <c r="CC19" s="3"/>
      <c r="CG19" s="3"/>
      <c r="CH19" s="3"/>
      <c r="CJ19" s="3"/>
      <c r="CK19" s="3"/>
      <c r="CP19" s="3"/>
      <c r="CQ19" s="3"/>
      <c r="CS19" s="3"/>
      <c r="CT19" s="3"/>
      <c r="CY19" s="3"/>
      <c r="CZ19" s="3"/>
      <c r="DB19" s="3"/>
      <c r="DC19" s="3"/>
    </row>
    <row r="20" spans="4:107" ht="16.2" x14ac:dyDescent="0.3">
      <c r="D20" s="69"/>
      <c r="E20" s="83" t="s">
        <v>99</v>
      </c>
      <c r="F20" s="70" t="s">
        <v>135</v>
      </c>
      <c r="G20" s="48">
        <v>2800</v>
      </c>
      <c r="H20" s="48"/>
      <c r="I20" s="71"/>
      <c r="M20" s="69"/>
      <c r="N20" s="81"/>
      <c r="O20" s="70" t="s">
        <v>247</v>
      </c>
      <c r="P20" s="48"/>
      <c r="Q20" s="48">
        <v>282</v>
      </c>
      <c r="R20" s="71"/>
      <c r="V20"/>
      <c r="W20"/>
      <c r="X20"/>
      <c r="Y20"/>
      <c r="Z20"/>
      <c r="AA20"/>
      <c r="AE20" s="3"/>
      <c r="AF20" s="3"/>
      <c r="AH20" s="3"/>
      <c r="AI20" s="3"/>
      <c r="AJ20" s="3"/>
      <c r="AN20" s="3"/>
      <c r="AO20" s="3"/>
      <c r="AQ20" s="3"/>
      <c r="AR20" s="3"/>
      <c r="AW20" s="3"/>
      <c r="AX20" s="3"/>
      <c r="AZ20" s="3"/>
      <c r="BA20" s="3"/>
      <c r="BF20" s="3"/>
      <c r="BG20" s="3"/>
      <c r="BI20" s="3"/>
      <c r="BJ20" s="3"/>
      <c r="BO20" s="3"/>
      <c r="BP20" s="3"/>
      <c r="BR20" s="3"/>
      <c r="BS20" s="3"/>
      <c r="BX20" s="3"/>
      <c r="BY20" s="3"/>
      <c r="CA20" s="3"/>
      <c r="CB20" s="3"/>
      <c r="CC20" s="3"/>
      <c r="CG20" s="3"/>
      <c r="CH20" s="3"/>
      <c r="CJ20" s="3"/>
      <c r="CK20" s="3"/>
      <c r="CP20" s="3"/>
      <c r="CQ20" s="3"/>
      <c r="CS20" s="3"/>
      <c r="CT20" s="3"/>
      <c r="CY20" s="3"/>
      <c r="CZ20" s="3"/>
      <c r="DB20" s="3"/>
      <c r="DC20" s="3"/>
    </row>
    <row r="21" spans="4:107" ht="16.2" x14ac:dyDescent="0.3">
      <c r="D21" s="69"/>
      <c r="E21" s="81"/>
      <c r="F21" s="70" t="s">
        <v>136</v>
      </c>
      <c r="G21" s="48"/>
      <c r="H21" s="48">
        <v>2800</v>
      </c>
      <c r="I21" s="71"/>
      <c r="M21" s="69">
        <v>10</v>
      </c>
      <c r="N21" s="81">
        <v>2</v>
      </c>
      <c r="O21" s="70" t="s">
        <v>248</v>
      </c>
      <c r="P21" s="48">
        <v>600</v>
      </c>
      <c r="Q21" s="48"/>
      <c r="R21" s="71"/>
      <c r="V21"/>
      <c r="W21"/>
      <c r="X21"/>
      <c r="Y21"/>
      <c r="Z21"/>
      <c r="AA21"/>
      <c r="AE21" s="3"/>
      <c r="AF21" s="3"/>
      <c r="AH21" s="3"/>
      <c r="AI21" s="3"/>
      <c r="AJ21" s="3"/>
      <c r="AN21" s="3"/>
      <c r="AO21" s="3"/>
      <c r="AQ21" s="3"/>
      <c r="AR21" s="3"/>
      <c r="AW21" s="3"/>
      <c r="AX21" s="3"/>
      <c r="AZ21" s="3"/>
      <c r="BA21" s="3"/>
      <c r="BF21" s="3"/>
      <c r="BG21" s="3"/>
      <c r="BI21" s="3"/>
      <c r="BJ21" s="3"/>
      <c r="BO21" s="3"/>
      <c r="BP21" s="3"/>
      <c r="BR21" s="3"/>
      <c r="BS21" s="3"/>
      <c r="BX21" s="3"/>
      <c r="BY21" s="3"/>
      <c r="CA21" s="3"/>
      <c r="CB21" s="3"/>
      <c r="CC21" s="3"/>
      <c r="CG21" s="3"/>
      <c r="CH21" s="3"/>
      <c r="CJ21" s="3"/>
      <c r="CK21" s="3"/>
      <c r="CP21" s="3"/>
      <c r="CQ21" s="3"/>
      <c r="CS21" s="3"/>
      <c r="CT21" s="3"/>
      <c r="CY21" s="3"/>
      <c r="CZ21" s="3"/>
      <c r="DB21" s="3"/>
      <c r="DC21" s="3"/>
    </row>
    <row r="22" spans="4:107" ht="16.2" x14ac:dyDescent="0.3">
      <c r="D22" s="69">
        <v>9</v>
      </c>
      <c r="E22" s="81">
        <v>13</v>
      </c>
      <c r="F22" s="70" t="s">
        <v>46</v>
      </c>
      <c r="G22" s="48">
        <v>116</v>
      </c>
      <c r="H22" s="48"/>
      <c r="I22" s="71"/>
      <c r="M22" s="69"/>
      <c r="N22" s="81"/>
      <c r="O22" s="70" t="s">
        <v>249</v>
      </c>
      <c r="P22" s="48"/>
      <c r="Q22" s="48">
        <v>600</v>
      </c>
      <c r="R22" s="71"/>
      <c r="V22"/>
      <c r="W22"/>
      <c r="X22"/>
      <c r="Y22"/>
      <c r="Z22"/>
      <c r="AA22"/>
      <c r="AE22" s="3"/>
      <c r="AF22" s="3"/>
      <c r="AH22" s="3"/>
      <c r="AI22" s="3"/>
      <c r="AJ22" s="3"/>
      <c r="AN22" s="3"/>
      <c r="AO22" s="3"/>
      <c r="AQ22" s="3"/>
      <c r="AR22" s="3"/>
      <c r="AW22" s="3"/>
      <c r="AX22" s="3"/>
      <c r="AZ22" s="3"/>
      <c r="BA22" s="3"/>
      <c r="BF22" s="3"/>
      <c r="BG22" s="3"/>
      <c r="BI22" s="3"/>
      <c r="BJ22" s="3"/>
      <c r="BO22" s="3"/>
      <c r="BP22" s="3"/>
      <c r="BR22" s="3"/>
      <c r="BS22" s="3"/>
      <c r="BX22" s="3"/>
      <c r="BY22" s="3"/>
      <c r="CA22" s="3"/>
      <c r="CB22" s="3"/>
      <c r="CC22" s="3"/>
      <c r="CG22" s="3"/>
      <c r="CH22" s="3"/>
      <c r="CJ22" s="3"/>
      <c r="CK22" s="3"/>
      <c r="CP22" s="3"/>
      <c r="CQ22" s="3"/>
      <c r="CS22" s="3"/>
      <c r="CT22" s="3"/>
      <c r="CY22" s="3"/>
      <c r="CZ22" s="3"/>
      <c r="DB22" s="3"/>
      <c r="DC22" s="3"/>
    </row>
    <row r="23" spans="4:107" ht="16.2" x14ac:dyDescent="0.3">
      <c r="D23" s="69"/>
      <c r="E23" s="81"/>
      <c r="F23" s="70" t="s">
        <v>163</v>
      </c>
      <c r="G23" s="48"/>
      <c r="H23" s="48">
        <v>116</v>
      </c>
      <c r="I23" s="71"/>
      <c r="M23" s="69"/>
      <c r="N23" s="83" t="s">
        <v>99</v>
      </c>
      <c r="O23" s="70" t="s">
        <v>250</v>
      </c>
      <c r="P23" s="48">
        <v>600</v>
      </c>
      <c r="Q23" s="48"/>
      <c r="R23" s="71"/>
      <c r="V23"/>
      <c r="W23"/>
      <c r="X23"/>
      <c r="Y23"/>
      <c r="Z23"/>
      <c r="AA23"/>
      <c r="AE23" s="3"/>
      <c r="AF23" s="3"/>
      <c r="AH23" s="3"/>
      <c r="AI23" s="3"/>
      <c r="AJ23" s="3"/>
      <c r="AN23" s="3"/>
      <c r="AO23" s="3"/>
      <c r="AQ23" s="3"/>
      <c r="AR23" s="3"/>
      <c r="AW23" s="3"/>
      <c r="AX23" s="3"/>
      <c r="AZ23" s="3"/>
      <c r="BA23" s="3"/>
      <c r="BF23" s="3"/>
      <c r="BG23" s="3"/>
      <c r="BI23" s="3"/>
      <c r="BJ23" s="3"/>
      <c r="BO23" s="3"/>
      <c r="BP23" s="3"/>
      <c r="BR23" s="3"/>
      <c r="BS23" s="3"/>
      <c r="BX23" s="3"/>
      <c r="BY23" s="3"/>
      <c r="CA23" s="3"/>
      <c r="CB23" s="3"/>
      <c r="CC23" s="3"/>
      <c r="CG23" s="3"/>
      <c r="CH23" s="3"/>
      <c r="CJ23" s="3"/>
      <c r="CK23" s="3"/>
      <c r="CP23" s="3"/>
      <c r="CQ23" s="3"/>
      <c r="CS23" s="3"/>
      <c r="CT23" s="3"/>
      <c r="CY23" s="3"/>
      <c r="CZ23" s="3"/>
      <c r="DB23" s="3"/>
      <c r="DC23" s="3"/>
    </row>
    <row r="24" spans="4:107" ht="16.2" x14ac:dyDescent="0.3">
      <c r="D24" s="69"/>
      <c r="E24" s="83" t="s">
        <v>99</v>
      </c>
      <c r="F24" s="70" t="s">
        <v>124</v>
      </c>
      <c r="G24" s="48">
        <v>60</v>
      </c>
      <c r="H24" s="48"/>
      <c r="I24" s="71"/>
      <c r="M24" s="69"/>
      <c r="N24" s="81"/>
      <c r="O24" s="70" t="s">
        <v>251</v>
      </c>
      <c r="P24" s="48"/>
      <c r="Q24" s="48">
        <v>600</v>
      </c>
      <c r="R24" s="71"/>
      <c r="V24"/>
      <c r="W24"/>
      <c r="X24"/>
      <c r="Y24"/>
      <c r="Z24"/>
      <c r="AA24"/>
      <c r="AE24" s="3"/>
      <c r="AF24" s="3"/>
      <c r="AH24" s="3"/>
      <c r="AI24" s="3"/>
      <c r="AJ24" s="3"/>
      <c r="AN24" s="3"/>
      <c r="AO24" s="3"/>
      <c r="AQ24" s="3"/>
      <c r="AR24" s="3"/>
      <c r="AW24" s="3"/>
      <c r="AX24" s="3"/>
      <c r="AZ24" s="3"/>
      <c r="BA24" s="3"/>
      <c r="BF24" s="3"/>
      <c r="BG24" s="3"/>
      <c r="BI24" s="3"/>
      <c r="BJ24" s="3"/>
      <c r="BO24" s="3"/>
      <c r="BP24" s="3"/>
      <c r="BR24" s="3"/>
      <c r="BS24" s="3"/>
      <c r="BX24" s="3"/>
      <c r="BY24" s="3"/>
      <c r="CA24" s="3"/>
      <c r="CB24" s="3"/>
      <c r="CC24" s="3"/>
      <c r="CG24" s="3"/>
      <c r="CH24" s="3"/>
      <c r="CJ24" s="3"/>
      <c r="CK24" s="3"/>
      <c r="CP24" s="3"/>
      <c r="CQ24" s="3"/>
      <c r="CS24" s="3"/>
      <c r="CT24" s="3"/>
      <c r="CY24" s="3"/>
      <c r="CZ24" s="3"/>
      <c r="DB24" s="3"/>
      <c r="DC24" s="3"/>
    </row>
    <row r="25" spans="4:107" ht="16.2" x14ac:dyDescent="0.3">
      <c r="D25" s="69"/>
      <c r="E25" s="81"/>
      <c r="F25" s="70" t="s">
        <v>128</v>
      </c>
      <c r="G25" s="48"/>
      <c r="H25" s="48">
        <v>60</v>
      </c>
      <c r="I25" s="71"/>
      <c r="M25" s="69">
        <v>10</v>
      </c>
      <c r="N25" s="81">
        <v>3</v>
      </c>
      <c r="O25" s="70" t="s">
        <v>46</v>
      </c>
      <c r="P25" s="48">
        <v>116</v>
      </c>
      <c r="Q25" s="48"/>
      <c r="R25" s="71"/>
      <c r="V25"/>
      <c r="W25"/>
      <c r="X25"/>
      <c r="Y25"/>
      <c r="Z25"/>
      <c r="AA25"/>
      <c r="AE25" s="3"/>
      <c r="AF25" s="3"/>
      <c r="AH25" s="3"/>
      <c r="AI25" s="3"/>
      <c r="AJ25" s="3"/>
      <c r="AN25" s="3"/>
      <c r="AO25" s="3"/>
      <c r="AQ25" s="3"/>
      <c r="AR25" s="3"/>
      <c r="AW25" s="3"/>
      <c r="AX25" s="3"/>
      <c r="AZ25" s="3"/>
      <c r="BA25" s="3"/>
      <c r="BF25" s="3"/>
      <c r="BG25" s="3"/>
      <c r="BI25" s="3"/>
      <c r="BJ25" s="3"/>
      <c r="BO25" s="3"/>
      <c r="BP25" s="3"/>
      <c r="BR25" s="3"/>
      <c r="BS25" s="3"/>
      <c r="BX25" s="3"/>
      <c r="BY25" s="3"/>
      <c r="CA25" s="3"/>
      <c r="CB25" s="3"/>
      <c r="CC25" s="3"/>
      <c r="CG25" s="3"/>
      <c r="CH25" s="3"/>
      <c r="CJ25" s="3"/>
      <c r="CK25" s="3"/>
      <c r="CP25" s="3"/>
      <c r="CQ25" s="3"/>
      <c r="CS25" s="3"/>
      <c r="CT25" s="3"/>
      <c r="CY25" s="3"/>
      <c r="CZ25" s="3"/>
      <c r="DB25" s="3"/>
      <c r="DC25" s="3"/>
    </row>
    <row r="26" spans="4:107" ht="16.2" x14ac:dyDescent="0.3">
      <c r="D26" s="69"/>
      <c r="E26" s="83" t="s">
        <v>99</v>
      </c>
      <c r="F26" s="70" t="s">
        <v>137</v>
      </c>
      <c r="G26" s="48">
        <v>2800</v>
      </c>
      <c r="H26" s="48"/>
      <c r="I26" s="71"/>
      <c r="M26" s="69"/>
      <c r="N26" s="81"/>
      <c r="O26" s="70" t="s">
        <v>163</v>
      </c>
      <c r="P26" s="48"/>
      <c r="Q26" s="48">
        <v>116</v>
      </c>
      <c r="R26" s="71"/>
      <c r="V26"/>
      <c r="W26"/>
      <c r="X26"/>
      <c r="Y26"/>
      <c r="Z26"/>
      <c r="AA26"/>
      <c r="AE26" s="3"/>
      <c r="AF26" s="3"/>
      <c r="AH26" s="3"/>
      <c r="AI26" s="3"/>
      <c r="AJ26" s="3"/>
      <c r="AN26" s="3"/>
      <c r="AO26" s="3"/>
      <c r="AQ26" s="3"/>
      <c r="AR26" s="3"/>
      <c r="AW26" s="3"/>
      <c r="AX26" s="3"/>
      <c r="AZ26" s="3"/>
      <c r="BA26" s="3"/>
      <c r="BF26" s="3"/>
      <c r="BG26" s="3"/>
      <c r="BI26" s="3"/>
      <c r="BJ26" s="3"/>
      <c r="BO26" s="3"/>
      <c r="BP26" s="3"/>
      <c r="BR26" s="3"/>
      <c r="BS26" s="3"/>
      <c r="BX26" s="3"/>
      <c r="BY26" s="3"/>
      <c r="CA26" s="3"/>
      <c r="CB26" s="3"/>
      <c r="CC26" s="3"/>
      <c r="CG26" s="3"/>
      <c r="CH26" s="3"/>
      <c r="CJ26" s="3"/>
      <c r="CK26" s="3"/>
      <c r="CP26" s="3"/>
      <c r="CQ26" s="3"/>
      <c r="CS26" s="3"/>
      <c r="CT26" s="3"/>
      <c r="CY26" s="3"/>
      <c r="CZ26" s="3"/>
      <c r="DB26" s="3"/>
      <c r="DC26" s="3"/>
    </row>
    <row r="27" spans="4:107" ht="16.2" x14ac:dyDescent="0.3">
      <c r="D27" s="69"/>
      <c r="E27" s="81"/>
      <c r="F27" s="70" t="s">
        <v>138</v>
      </c>
      <c r="G27" s="48"/>
      <c r="H27" s="48">
        <v>2800</v>
      </c>
      <c r="I27" s="71"/>
      <c r="M27" s="69"/>
      <c r="N27" s="83" t="s">
        <v>99</v>
      </c>
      <c r="O27" s="70" t="s">
        <v>124</v>
      </c>
      <c r="P27" s="48">
        <v>50</v>
      </c>
      <c r="Q27" s="48"/>
      <c r="R27" s="71"/>
      <c r="V27"/>
      <c r="W27"/>
      <c r="X27"/>
      <c r="Y27"/>
      <c r="Z27"/>
      <c r="AA27"/>
      <c r="AE27" s="3"/>
      <c r="AF27" s="3"/>
      <c r="AH27" s="3"/>
      <c r="AI27" s="3"/>
      <c r="AJ27" s="3"/>
      <c r="AN27" s="3"/>
      <c r="AO27" s="3"/>
      <c r="AQ27" s="3"/>
      <c r="AR27" s="3"/>
      <c r="AW27" s="3"/>
      <c r="AX27" s="3"/>
      <c r="AZ27" s="3"/>
      <c r="BA27" s="3"/>
      <c r="BF27" s="3"/>
      <c r="BG27" s="3"/>
      <c r="BI27" s="3"/>
      <c r="BJ27" s="3"/>
      <c r="BO27" s="3"/>
      <c r="BP27" s="3"/>
      <c r="BR27" s="3"/>
      <c r="BS27" s="3"/>
      <c r="BX27" s="3"/>
      <c r="BY27" s="3"/>
      <c r="CA27" s="3"/>
      <c r="CB27" s="3"/>
      <c r="CC27" s="3"/>
      <c r="CG27" s="3"/>
      <c r="CH27" s="3"/>
      <c r="CJ27" s="3"/>
      <c r="CK27" s="3"/>
      <c r="CP27" s="3"/>
      <c r="CQ27" s="3"/>
      <c r="CS27" s="3"/>
      <c r="CT27" s="3"/>
      <c r="CY27" s="3"/>
      <c r="CZ27" s="3"/>
      <c r="DB27" s="3"/>
      <c r="DC27" s="3"/>
    </row>
    <row r="28" spans="4:107" ht="16.2" x14ac:dyDescent="0.3">
      <c r="D28" s="69"/>
      <c r="E28" s="83" t="s">
        <v>99</v>
      </c>
      <c r="F28" s="70" t="s">
        <v>132</v>
      </c>
      <c r="G28" s="48">
        <v>116</v>
      </c>
      <c r="H28" s="48"/>
      <c r="I28" s="71"/>
      <c r="M28" s="69"/>
      <c r="N28" s="81"/>
      <c r="O28" s="70" t="s">
        <v>128</v>
      </c>
      <c r="P28" s="48"/>
      <c r="Q28" s="48">
        <v>50</v>
      </c>
      <c r="R28" s="71"/>
      <c r="V28"/>
      <c r="W28"/>
      <c r="X28"/>
      <c r="Y28"/>
      <c r="Z28"/>
      <c r="AA28"/>
      <c r="AE28" s="3"/>
      <c r="AF28" s="3"/>
      <c r="AH28" s="3"/>
      <c r="AI28" s="3"/>
      <c r="AJ28" s="3"/>
      <c r="AN28" s="3"/>
      <c r="AO28" s="3"/>
      <c r="AQ28" s="3"/>
      <c r="AR28" s="3"/>
      <c r="AW28" s="3"/>
      <c r="AX28" s="3"/>
      <c r="AZ28" s="3"/>
      <c r="BA28" s="3"/>
      <c r="BF28" s="3"/>
      <c r="BG28" s="3"/>
      <c r="BI28" s="3"/>
      <c r="BJ28" s="3"/>
      <c r="BO28" s="3"/>
      <c r="BP28" s="3"/>
      <c r="BR28" s="3"/>
      <c r="BS28" s="3"/>
      <c r="BX28" s="3"/>
      <c r="BY28" s="3"/>
      <c r="CA28" s="3"/>
      <c r="CB28" s="3"/>
      <c r="CC28" s="3"/>
      <c r="CG28" s="3"/>
      <c r="CH28" s="3"/>
      <c r="CJ28" s="3"/>
      <c r="CK28" s="3"/>
      <c r="CP28" s="3"/>
      <c r="CQ28" s="3"/>
      <c r="CS28" s="3"/>
      <c r="CT28" s="3"/>
      <c r="CY28" s="3"/>
      <c r="CZ28" s="3"/>
      <c r="DB28" s="3"/>
      <c r="DC28" s="3"/>
    </row>
    <row r="29" spans="4:107" ht="16.2" x14ac:dyDescent="0.3">
      <c r="D29" s="69"/>
      <c r="E29" s="81"/>
      <c r="F29" s="70" t="s">
        <v>89</v>
      </c>
      <c r="G29" s="48">
        <v>60</v>
      </c>
      <c r="H29" s="48"/>
      <c r="I29" s="71"/>
      <c r="M29" s="69"/>
      <c r="N29" s="83" t="s">
        <v>99</v>
      </c>
      <c r="O29" s="70" t="s">
        <v>132</v>
      </c>
      <c r="P29" s="48">
        <v>116</v>
      </c>
      <c r="Q29" s="48"/>
      <c r="R29" s="71"/>
      <c r="V29"/>
      <c r="W29"/>
      <c r="X29"/>
      <c r="Y29"/>
      <c r="Z29"/>
      <c r="AA29"/>
      <c r="AE29" s="3"/>
      <c r="AF29" s="3"/>
      <c r="AH29" s="3"/>
      <c r="AI29" s="3"/>
      <c r="AJ29" s="3"/>
      <c r="AN29" s="3"/>
      <c r="AO29" s="3"/>
      <c r="AQ29" s="3"/>
      <c r="AR29" s="3"/>
      <c r="AW29" s="3"/>
      <c r="AX29" s="3"/>
      <c r="AZ29" s="3"/>
      <c r="BA29" s="3"/>
      <c r="BF29" s="3"/>
      <c r="BG29" s="3"/>
      <c r="BI29" s="3"/>
      <c r="BJ29" s="3"/>
      <c r="BO29" s="3"/>
      <c r="BP29" s="3"/>
      <c r="BR29" s="3"/>
      <c r="BS29" s="3"/>
      <c r="BX29" s="3"/>
      <c r="BY29" s="3"/>
      <c r="CA29" s="3"/>
      <c r="CB29" s="3"/>
      <c r="CC29" s="3"/>
      <c r="CG29" s="3"/>
      <c r="CH29" s="3"/>
      <c r="CJ29" s="3"/>
      <c r="CK29" s="3"/>
      <c r="CP29" s="3"/>
      <c r="CQ29" s="3"/>
      <c r="CS29" s="3"/>
      <c r="CT29" s="3"/>
      <c r="CY29" s="3"/>
      <c r="CZ29" s="3"/>
      <c r="DB29" s="3"/>
      <c r="DC29" s="3"/>
    </row>
    <row r="30" spans="4:107" ht="16.2" x14ac:dyDescent="0.3">
      <c r="D30" s="69"/>
      <c r="E30" s="81"/>
      <c r="F30" s="70" t="s">
        <v>123</v>
      </c>
      <c r="G30" s="48"/>
      <c r="H30" s="48">
        <v>176</v>
      </c>
      <c r="I30" s="71"/>
      <c r="M30" s="69"/>
      <c r="N30" s="81"/>
      <c r="O30" s="70" t="s">
        <v>89</v>
      </c>
      <c r="P30" s="48">
        <v>50</v>
      </c>
      <c r="Q30" s="48"/>
      <c r="R30" s="71"/>
      <c r="V30"/>
      <c r="W30"/>
      <c r="X30"/>
      <c r="Y30"/>
      <c r="Z30"/>
      <c r="AA30"/>
      <c r="AE30" s="3"/>
      <c r="AF30" s="3"/>
      <c r="AH30" s="3"/>
      <c r="AI30" s="3"/>
      <c r="AJ30" s="3"/>
      <c r="AN30" s="3"/>
      <c r="AO30" s="3"/>
      <c r="AQ30" s="3"/>
      <c r="AR30" s="3"/>
      <c r="AW30" s="3"/>
      <c r="AX30" s="3"/>
      <c r="AZ30" s="3"/>
      <c r="BA30" s="3"/>
      <c r="BF30" s="3"/>
      <c r="BG30" s="3"/>
      <c r="BI30" s="3"/>
      <c r="BJ30" s="3"/>
      <c r="BO30" s="3"/>
      <c r="BP30" s="3"/>
      <c r="BR30" s="3"/>
      <c r="BS30" s="3"/>
      <c r="BX30" s="3"/>
      <c r="BY30" s="3"/>
      <c r="CA30" s="3"/>
      <c r="CB30" s="3"/>
      <c r="CC30" s="3"/>
      <c r="CG30" s="3"/>
      <c r="CH30" s="3"/>
      <c r="CJ30" s="3"/>
      <c r="CK30" s="3"/>
      <c r="CP30" s="3"/>
      <c r="CQ30" s="3"/>
      <c r="CS30" s="3"/>
      <c r="CT30" s="3"/>
      <c r="CY30" s="3"/>
      <c r="CZ30" s="3"/>
      <c r="DB30" s="3"/>
      <c r="DC30" s="3"/>
    </row>
    <row r="31" spans="4:107" ht="16.2" x14ac:dyDescent="0.3">
      <c r="D31" s="69"/>
      <c r="E31" s="83" t="s">
        <v>99</v>
      </c>
      <c r="F31" s="70" t="s">
        <v>139</v>
      </c>
      <c r="G31" s="48">
        <v>2800</v>
      </c>
      <c r="H31" s="48"/>
      <c r="I31" s="71"/>
      <c r="M31" s="69"/>
      <c r="N31" s="81"/>
      <c r="O31" s="70" t="s">
        <v>123</v>
      </c>
      <c r="P31" s="48"/>
      <c r="Q31" s="48">
        <v>166</v>
      </c>
      <c r="R31" s="71"/>
      <c r="V31"/>
      <c r="W31"/>
      <c r="X31"/>
      <c r="Y31"/>
      <c r="Z31"/>
      <c r="AA31"/>
      <c r="AE31" s="3"/>
      <c r="AF31" s="3"/>
      <c r="AH31" s="3"/>
      <c r="AI31" s="3"/>
      <c r="AJ31" s="3"/>
      <c r="AN31" s="3"/>
      <c r="AO31" s="3"/>
      <c r="AQ31" s="3"/>
      <c r="AR31" s="3"/>
      <c r="AW31" s="3"/>
      <c r="AX31" s="3"/>
      <c r="AZ31" s="3"/>
      <c r="BA31" s="3"/>
      <c r="BF31" s="3"/>
      <c r="BG31" s="3"/>
      <c r="BI31" s="3"/>
      <c r="BJ31" s="3"/>
      <c r="BO31" s="3"/>
      <c r="BP31" s="3"/>
      <c r="BR31" s="3"/>
      <c r="BS31" s="3"/>
      <c r="BX31" s="3"/>
      <c r="BY31" s="3"/>
      <c r="CA31" s="3"/>
      <c r="CB31" s="3"/>
      <c r="CC31" s="3"/>
      <c r="CG31" s="3"/>
      <c r="CH31" s="3"/>
      <c r="CJ31" s="3"/>
      <c r="CK31" s="3"/>
      <c r="CP31" s="3"/>
      <c r="CQ31" s="3"/>
      <c r="CS31" s="3"/>
      <c r="CT31" s="3"/>
      <c r="CY31" s="3"/>
      <c r="CZ31" s="3"/>
      <c r="DB31" s="3"/>
      <c r="DC31" s="3"/>
    </row>
    <row r="32" spans="4:107" ht="16.2" x14ac:dyDescent="0.3">
      <c r="D32" s="69"/>
      <c r="E32" s="81"/>
      <c r="F32" s="70" t="s">
        <v>140</v>
      </c>
      <c r="G32" s="48"/>
      <c r="H32" s="48">
        <v>2800</v>
      </c>
      <c r="I32" s="71"/>
      <c r="M32" s="69">
        <v>10</v>
      </c>
      <c r="N32" s="81">
        <v>4</v>
      </c>
      <c r="O32" s="70" t="s">
        <v>46</v>
      </c>
      <c r="P32" s="48">
        <v>116</v>
      </c>
      <c r="Q32" s="48"/>
      <c r="R32" s="71"/>
      <c r="V32"/>
      <c r="W32"/>
      <c r="X32"/>
      <c r="Y32"/>
      <c r="Z32"/>
      <c r="AA32"/>
      <c r="AE32" s="3"/>
      <c r="AF32" s="3"/>
      <c r="AH32" s="3"/>
      <c r="AI32" s="3"/>
      <c r="AJ32" s="3"/>
      <c r="AN32" s="3"/>
      <c r="AO32" s="3"/>
      <c r="AQ32" s="3"/>
      <c r="AR32" s="3"/>
      <c r="AW32" s="3"/>
      <c r="AX32" s="3"/>
      <c r="AZ32" s="3"/>
      <c r="BA32" s="3"/>
      <c r="BF32" s="3"/>
      <c r="BG32" s="3"/>
      <c r="BI32" s="3"/>
      <c r="BJ32" s="3"/>
      <c r="BO32" s="3"/>
      <c r="BP32" s="3"/>
      <c r="BR32" s="3"/>
      <c r="BS32" s="3"/>
      <c r="BX32" s="3"/>
      <c r="BY32" s="3"/>
      <c r="CA32" s="3"/>
      <c r="CB32" s="3"/>
      <c r="CC32" s="3"/>
      <c r="CG32" s="3"/>
      <c r="CH32" s="3"/>
      <c r="CJ32" s="3"/>
      <c r="CK32" s="3"/>
      <c r="CP32" s="3"/>
      <c r="CQ32" s="3"/>
      <c r="CS32" s="3"/>
      <c r="CT32" s="3"/>
      <c r="CY32" s="3"/>
      <c r="CZ32" s="3"/>
      <c r="DB32" s="3"/>
      <c r="DC32" s="3"/>
    </row>
    <row r="33" spans="4:107" ht="16.2" x14ac:dyDescent="0.3">
      <c r="D33" s="69">
        <v>9</v>
      </c>
      <c r="E33" s="81">
        <v>14</v>
      </c>
      <c r="F33" s="70" t="s">
        <v>46</v>
      </c>
      <c r="G33" s="48">
        <v>116</v>
      </c>
      <c r="H33" s="48"/>
      <c r="I33" s="71"/>
      <c r="M33" s="69"/>
      <c r="N33" s="81"/>
      <c r="O33" s="70" t="s">
        <v>163</v>
      </c>
      <c r="P33" s="48"/>
      <c r="Q33" s="48">
        <v>116</v>
      </c>
      <c r="R33" s="71"/>
      <c r="V33"/>
      <c r="W33"/>
      <c r="X33"/>
      <c r="Y33"/>
      <c r="Z33"/>
      <c r="AA33"/>
      <c r="AE33" s="3"/>
      <c r="AF33" s="3"/>
      <c r="AH33" s="3"/>
      <c r="AI33" s="3"/>
      <c r="AJ33" s="3"/>
      <c r="AN33" s="3"/>
      <c r="AO33" s="3"/>
      <c r="AQ33" s="3"/>
      <c r="AR33" s="3"/>
      <c r="AW33" s="3"/>
      <c r="AX33" s="3"/>
      <c r="AZ33" s="3"/>
      <c r="BA33" s="3"/>
      <c r="BF33" s="3"/>
      <c r="BG33" s="3"/>
      <c r="BI33" s="3"/>
      <c r="BJ33" s="3"/>
      <c r="BO33" s="3"/>
      <c r="BP33" s="3"/>
      <c r="BR33" s="3"/>
      <c r="BS33" s="3"/>
      <c r="BX33" s="3"/>
      <c r="BY33" s="3"/>
      <c r="CA33" s="3"/>
      <c r="CB33" s="3"/>
      <c r="CC33" s="3"/>
      <c r="CG33" s="3"/>
      <c r="CH33" s="3"/>
      <c r="CJ33" s="3"/>
      <c r="CK33" s="3"/>
      <c r="CP33" s="3"/>
      <c r="CQ33" s="3"/>
      <c r="CS33" s="3"/>
      <c r="CT33" s="3"/>
      <c r="CY33" s="3"/>
      <c r="CZ33" s="3"/>
      <c r="DB33" s="3"/>
      <c r="DC33" s="3"/>
    </row>
    <row r="34" spans="4:107" ht="16.2" x14ac:dyDescent="0.3">
      <c r="D34" s="69"/>
      <c r="E34" s="81"/>
      <c r="F34" s="70" t="s">
        <v>163</v>
      </c>
      <c r="G34" s="48"/>
      <c r="H34" s="48">
        <v>116</v>
      </c>
      <c r="I34" s="71"/>
      <c r="M34" s="69"/>
      <c r="N34" s="83" t="s">
        <v>99</v>
      </c>
      <c r="O34" s="70" t="s">
        <v>124</v>
      </c>
      <c r="P34" s="48">
        <v>35</v>
      </c>
      <c r="Q34" s="48"/>
      <c r="R34" s="71"/>
      <c r="V34"/>
      <c r="W34"/>
      <c r="X34"/>
      <c r="Y34"/>
      <c r="Z34"/>
      <c r="AA34"/>
      <c r="AE34" s="3"/>
      <c r="AF34" s="3"/>
      <c r="AH34" s="3"/>
      <c r="AI34" s="3"/>
      <c r="AJ34" s="3"/>
      <c r="AN34" s="3"/>
      <c r="AO34" s="3"/>
      <c r="AQ34" s="3"/>
      <c r="AR34" s="3"/>
      <c r="AW34" s="3"/>
      <c r="AX34" s="3"/>
      <c r="AZ34" s="3"/>
      <c r="BA34" s="3"/>
      <c r="BF34" s="3"/>
      <c r="BG34" s="3"/>
      <c r="BI34" s="3"/>
      <c r="BJ34" s="3"/>
      <c r="BO34" s="3"/>
      <c r="BP34" s="3"/>
      <c r="BR34" s="3"/>
      <c r="BS34" s="3"/>
      <c r="BX34" s="3"/>
      <c r="BY34" s="3"/>
      <c r="CA34" s="3"/>
      <c r="CB34" s="3"/>
      <c r="CC34" s="3"/>
      <c r="CG34" s="3"/>
      <c r="CH34" s="3"/>
      <c r="CJ34" s="3"/>
      <c r="CK34" s="3"/>
      <c r="CP34" s="3"/>
      <c r="CQ34" s="3"/>
      <c r="CS34" s="3"/>
      <c r="CT34" s="3"/>
      <c r="CY34" s="3"/>
      <c r="CZ34" s="3"/>
      <c r="DB34" s="3"/>
      <c r="DC34" s="3"/>
    </row>
    <row r="35" spans="4:107" ht="16.2" x14ac:dyDescent="0.3">
      <c r="D35" s="69"/>
      <c r="E35" s="83" t="s">
        <v>99</v>
      </c>
      <c r="F35" s="70" t="s">
        <v>124</v>
      </c>
      <c r="G35" s="48">
        <v>35</v>
      </c>
      <c r="H35" s="48"/>
      <c r="I35" s="71"/>
      <c r="M35" s="69"/>
      <c r="N35" s="81"/>
      <c r="O35" s="70" t="s">
        <v>128</v>
      </c>
      <c r="P35" s="48"/>
      <c r="Q35" s="48">
        <v>35</v>
      </c>
      <c r="R35" s="71"/>
      <c r="V35"/>
      <c r="W35"/>
      <c r="X35"/>
      <c r="Y35"/>
      <c r="Z35"/>
      <c r="AA35"/>
      <c r="AE35" s="3"/>
      <c r="AF35" s="3"/>
      <c r="AH35" s="3"/>
      <c r="AI35" s="3"/>
      <c r="AJ35" s="3"/>
      <c r="AN35" s="3"/>
      <c r="AO35" s="3"/>
      <c r="AQ35" s="3"/>
      <c r="AR35" s="3"/>
      <c r="AW35" s="3"/>
      <c r="AX35" s="3"/>
      <c r="AZ35" s="3"/>
      <c r="BA35" s="3"/>
      <c r="BF35" s="3"/>
      <c r="BG35" s="3"/>
      <c r="BI35" s="3"/>
      <c r="BJ35" s="3"/>
      <c r="BO35" s="3"/>
      <c r="BP35" s="3"/>
      <c r="BR35" s="3"/>
      <c r="BS35" s="3"/>
      <c r="BX35" s="3"/>
      <c r="BY35" s="3"/>
      <c r="CA35" s="3"/>
      <c r="CB35" s="3"/>
      <c r="CC35" s="3"/>
      <c r="CG35" s="3"/>
      <c r="CH35" s="3"/>
      <c r="CJ35" s="3"/>
      <c r="CK35" s="3"/>
      <c r="CP35" s="3"/>
      <c r="CQ35" s="3"/>
      <c r="CS35" s="3"/>
      <c r="CT35" s="3"/>
      <c r="CY35" s="3"/>
      <c r="CZ35" s="3"/>
      <c r="DB35" s="3"/>
      <c r="DC35" s="3"/>
    </row>
    <row r="36" spans="4:107" ht="16.2" customHeight="1" x14ac:dyDescent="0.3">
      <c r="D36" s="69"/>
      <c r="E36" s="81"/>
      <c r="F36" s="70" t="s">
        <v>164</v>
      </c>
      <c r="G36" s="48">
        <v>28</v>
      </c>
      <c r="H36" s="48"/>
      <c r="I36" s="71"/>
      <c r="M36" s="69"/>
      <c r="N36" s="83" t="s">
        <v>99</v>
      </c>
      <c r="O36" s="70" t="s">
        <v>132</v>
      </c>
      <c r="P36" s="48">
        <v>116</v>
      </c>
      <c r="Q36" s="48"/>
      <c r="R36" s="71"/>
      <c r="V36"/>
      <c r="W36"/>
      <c r="X36"/>
      <c r="Y36"/>
      <c r="Z36"/>
      <c r="AA36"/>
      <c r="AE36" s="3"/>
      <c r="AF36" s="3"/>
      <c r="AH36" s="3"/>
      <c r="AI36" s="3"/>
      <c r="AJ36" s="3"/>
      <c r="AN36" s="3"/>
      <c r="AO36" s="3"/>
      <c r="AQ36" s="3"/>
      <c r="AR36" s="3"/>
      <c r="AW36" s="3"/>
      <c r="AX36" s="3"/>
      <c r="AZ36" s="3"/>
      <c r="BA36" s="3"/>
      <c r="BF36" s="3"/>
      <c r="BG36" s="3"/>
      <c r="BI36" s="3"/>
      <c r="BJ36" s="3"/>
      <c r="BO36" s="3"/>
      <c r="BP36" s="3"/>
      <c r="BR36" s="3"/>
      <c r="BS36" s="3"/>
      <c r="BX36" s="3"/>
      <c r="BY36" s="3"/>
      <c r="CA36" s="3"/>
      <c r="CB36" s="3"/>
      <c r="CC36" s="3"/>
      <c r="CG36" s="3"/>
      <c r="CH36" s="3"/>
      <c r="CJ36" s="3"/>
      <c r="CK36" s="3"/>
      <c r="CP36" s="3"/>
      <c r="CQ36" s="3"/>
      <c r="CS36" s="3"/>
      <c r="CT36" s="3"/>
      <c r="CY36" s="3"/>
      <c r="CZ36" s="3"/>
      <c r="DB36" s="3"/>
      <c r="DC36" s="3"/>
    </row>
    <row r="37" spans="4:107" ht="16.2" x14ac:dyDescent="0.3">
      <c r="D37" s="69"/>
      <c r="E37" s="81"/>
      <c r="F37" s="70" t="s">
        <v>165</v>
      </c>
      <c r="G37" s="48"/>
      <c r="H37" s="48">
        <v>63</v>
      </c>
      <c r="I37" s="71"/>
      <c r="M37" s="69"/>
      <c r="N37" s="81"/>
      <c r="O37" s="70" t="s">
        <v>89</v>
      </c>
      <c r="P37" s="48">
        <v>35</v>
      </c>
      <c r="Q37" s="48"/>
      <c r="R37" s="71"/>
      <c r="V37"/>
      <c r="W37"/>
      <c r="X37"/>
      <c r="Y37"/>
      <c r="Z37"/>
      <c r="AA37"/>
      <c r="AE37" s="3"/>
      <c r="AF37" s="3"/>
      <c r="AH37" s="3"/>
      <c r="AI37" s="3"/>
      <c r="AJ37" s="3"/>
      <c r="AN37" s="3"/>
      <c r="AO37" s="3"/>
      <c r="AQ37" s="3"/>
      <c r="AR37" s="3"/>
      <c r="AW37" s="3"/>
      <c r="AX37" s="3"/>
      <c r="AZ37" s="3"/>
      <c r="BA37" s="3"/>
      <c r="BF37" s="3"/>
      <c r="BG37" s="3"/>
      <c r="BI37" s="3"/>
      <c r="BJ37" s="3"/>
      <c r="BO37" s="3"/>
      <c r="BP37" s="3"/>
      <c r="BR37" s="3"/>
      <c r="BS37" s="3"/>
      <c r="BX37" s="3"/>
      <c r="BY37" s="3"/>
      <c r="CA37" s="3"/>
      <c r="CB37" s="3"/>
      <c r="CC37" s="3"/>
      <c r="CG37" s="3"/>
      <c r="CH37" s="3"/>
      <c r="CJ37" s="3"/>
      <c r="CK37" s="3"/>
      <c r="CP37" s="3"/>
      <c r="CQ37" s="3"/>
      <c r="CS37" s="3"/>
      <c r="CT37" s="3"/>
      <c r="CY37" s="3"/>
      <c r="CZ37" s="3"/>
      <c r="DB37" s="3"/>
      <c r="DC37" s="3"/>
    </row>
    <row r="38" spans="4:107" ht="16.2" x14ac:dyDescent="0.3">
      <c r="D38" s="69"/>
      <c r="E38" s="83" t="s">
        <v>99</v>
      </c>
      <c r="F38" s="70" t="s">
        <v>132</v>
      </c>
      <c r="G38" s="48">
        <v>116</v>
      </c>
      <c r="H38" s="48"/>
      <c r="I38" s="71"/>
      <c r="M38" s="69"/>
      <c r="N38" s="81"/>
      <c r="O38" s="70" t="s">
        <v>123</v>
      </c>
      <c r="P38" s="48"/>
      <c r="Q38" s="48">
        <v>151</v>
      </c>
      <c r="R38" s="71"/>
      <c r="V38"/>
      <c r="W38"/>
      <c r="X38"/>
      <c r="Y38"/>
      <c r="Z38"/>
      <c r="AA38"/>
      <c r="AE38" s="3"/>
      <c r="AF38" s="3"/>
      <c r="AH38" s="3"/>
      <c r="AI38" s="3"/>
      <c r="AJ38" s="3"/>
      <c r="AN38" s="3"/>
      <c r="AO38" s="3"/>
      <c r="AQ38" s="3"/>
      <c r="AR38" s="3"/>
      <c r="AW38" s="3"/>
      <c r="AX38" s="3"/>
      <c r="AZ38" s="3"/>
      <c r="BA38" s="3"/>
      <c r="BF38" s="3"/>
      <c r="BG38" s="3"/>
      <c r="BI38" s="3"/>
      <c r="BJ38" s="3"/>
      <c r="BO38" s="3"/>
      <c r="BP38" s="3"/>
      <c r="BR38" s="3"/>
      <c r="BS38" s="3"/>
      <c r="BX38" s="3"/>
      <c r="BY38" s="3"/>
      <c r="CA38" s="3"/>
      <c r="CB38" s="3"/>
      <c r="CC38" s="3"/>
      <c r="CG38" s="3"/>
      <c r="CH38" s="3"/>
      <c r="CJ38" s="3"/>
      <c r="CK38" s="3"/>
      <c r="CP38" s="3"/>
      <c r="CQ38" s="3"/>
      <c r="CS38" s="3"/>
      <c r="CT38" s="3"/>
      <c r="CY38" s="3"/>
      <c r="CZ38" s="3"/>
      <c r="DB38" s="3"/>
      <c r="DC38" s="3"/>
    </row>
    <row r="39" spans="4:107" ht="16.2" x14ac:dyDescent="0.3">
      <c r="D39" s="69"/>
      <c r="E39" s="81"/>
      <c r="F39" s="70" t="s">
        <v>89</v>
      </c>
      <c r="G39" s="48">
        <v>63</v>
      </c>
      <c r="H39" s="48"/>
      <c r="I39" s="71"/>
      <c r="M39" s="69">
        <v>10</v>
      </c>
      <c r="N39" s="81">
        <v>5</v>
      </c>
      <c r="O39" s="70" t="s">
        <v>46</v>
      </c>
      <c r="P39" s="48">
        <v>116</v>
      </c>
      <c r="Q39" s="48"/>
      <c r="R39" s="71"/>
      <c r="V39"/>
      <c r="W39"/>
      <c r="X39"/>
      <c r="Y39"/>
      <c r="Z39"/>
      <c r="AA39"/>
      <c r="AE39" s="3"/>
      <c r="AF39" s="3"/>
      <c r="AH39" s="3"/>
      <c r="AI39" s="3"/>
      <c r="AJ39" s="3"/>
      <c r="AN39" s="3"/>
      <c r="AO39" s="3"/>
      <c r="AQ39" s="3"/>
      <c r="AR39" s="3"/>
      <c r="AW39" s="3"/>
      <c r="AX39" s="3"/>
      <c r="AZ39" s="3"/>
      <c r="BA39" s="3"/>
      <c r="BF39" s="3"/>
      <c r="BG39" s="3"/>
      <c r="BI39" s="3"/>
      <c r="BJ39" s="3"/>
      <c r="BO39" s="3"/>
      <c r="BP39" s="3"/>
      <c r="BR39" s="3"/>
      <c r="BS39" s="3"/>
      <c r="BX39" s="3"/>
      <c r="BY39" s="3"/>
      <c r="CA39" s="3"/>
      <c r="CB39" s="3"/>
      <c r="CC39" s="3"/>
      <c r="CG39" s="3"/>
      <c r="CH39" s="3"/>
      <c r="CJ39" s="3"/>
      <c r="CK39" s="3"/>
      <c r="CP39" s="3"/>
      <c r="CQ39" s="3"/>
      <c r="CS39" s="3"/>
      <c r="CT39" s="3"/>
      <c r="CY39" s="3"/>
      <c r="CZ39" s="3"/>
      <c r="DB39" s="3"/>
      <c r="DC39" s="3"/>
    </row>
    <row r="40" spans="4:107" ht="16.2" x14ac:dyDescent="0.3">
      <c r="D40" s="69"/>
      <c r="E40" s="81"/>
      <c r="F40" s="70" t="s">
        <v>123</v>
      </c>
      <c r="G40" s="48"/>
      <c r="H40" s="48">
        <v>179</v>
      </c>
      <c r="I40" s="71"/>
      <c r="M40" s="69"/>
      <c r="N40" s="81"/>
      <c r="O40" s="70" t="s">
        <v>163</v>
      </c>
      <c r="P40" s="48"/>
      <c r="Q40" s="48">
        <v>116</v>
      </c>
      <c r="R40" s="71"/>
      <c r="V40"/>
      <c r="W40"/>
      <c r="X40"/>
      <c r="Y40"/>
      <c r="Z40"/>
      <c r="AA40"/>
      <c r="AE40" s="3"/>
      <c r="AF40" s="3"/>
      <c r="AH40" s="3"/>
      <c r="AI40" s="3"/>
      <c r="AJ40" s="3"/>
      <c r="AN40" s="3"/>
      <c r="AO40" s="3"/>
      <c r="AQ40" s="3"/>
      <c r="AR40" s="3"/>
      <c r="AW40" s="3"/>
      <c r="AX40" s="3"/>
      <c r="AZ40" s="3"/>
      <c r="BA40" s="3"/>
      <c r="BF40" s="3"/>
      <c r="BG40" s="3"/>
      <c r="BI40" s="3"/>
      <c r="BJ40" s="3"/>
      <c r="BO40" s="3"/>
      <c r="BP40" s="3"/>
      <c r="BR40" s="3"/>
      <c r="BS40" s="3"/>
      <c r="BX40" s="3"/>
      <c r="BY40" s="3"/>
      <c r="CA40" s="3"/>
      <c r="CB40" s="3"/>
      <c r="CC40" s="3"/>
      <c r="CG40" s="3"/>
      <c r="CH40" s="3"/>
      <c r="CJ40" s="3"/>
      <c r="CK40" s="3"/>
      <c r="CP40" s="3"/>
      <c r="CQ40" s="3"/>
      <c r="CS40" s="3"/>
      <c r="CT40" s="3"/>
      <c r="CY40" s="3"/>
      <c r="CZ40" s="3"/>
      <c r="DB40" s="3"/>
      <c r="DC40" s="3"/>
    </row>
    <row r="41" spans="4:107" ht="16.2" x14ac:dyDescent="0.3">
      <c r="D41" s="69">
        <v>9</v>
      </c>
      <c r="E41" s="81">
        <v>16</v>
      </c>
      <c r="F41" s="70" t="s">
        <v>166</v>
      </c>
      <c r="G41" s="48">
        <v>600</v>
      </c>
      <c r="H41" s="48"/>
      <c r="I41" s="71"/>
      <c r="M41" s="69"/>
      <c r="N41" s="83" t="s">
        <v>99</v>
      </c>
      <c r="O41" s="70" t="s">
        <v>124</v>
      </c>
      <c r="P41" s="48">
        <v>80</v>
      </c>
      <c r="Q41" s="48"/>
      <c r="R41" s="71"/>
      <c r="V41"/>
      <c r="W41"/>
      <c r="X41"/>
      <c r="Y41"/>
      <c r="Z41"/>
      <c r="AA41"/>
      <c r="AE41" s="3"/>
      <c r="AF41" s="3"/>
      <c r="AH41" s="3"/>
      <c r="AI41" s="3"/>
      <c r="AJ41" s="3"/>
      <c r="AN41" s="3"/>
      <c r="AO41" s="3"/>
      <c r="AQ41" s="3"/>
      <c r="AR41" s="3"/>
      <c r="AW41" s="3"/>
      <c r="AX41" s="3"/>
      <c r="AZ41" s="3"/>
      <c r="BA41" s="3"/>
      <c r="BF41" s="3"/>
      <c r="BG41" s="3"/>
      <c r="BI41" s="3"/>
      <c r="BJ41" s="3"/>
      <c r="BO41" s="3"/>
      <c r="BP41" s="3"/>
      <c r="BR41" s="3"/>
      <c r="BS41" s="3"/>
      <c r="BX41" s="3"/>
      <c r="BY41" s="3"/>
      <c r="CA41" s="3"/>
      <c r="CB41" s="3"/>
      <c r="CC41" s="3"/>
      <c r="CG41" s="3"/>
      <c r="CH41" s="3"/>
      <c r="CJ41" s="3"/>
      <c r="CK41" s="3"/>
      <c r="CP41" s="3"/>
      <c r="CQ41" s="3"/>
      <c r="CS41" s="3"/>
      <c r="CT41" s="3"/>
      <c r="CY41" s="3"/>
      <c r="CZ41" s="3"/>
      <c r="DB41" s="3"/>
      <c r="DC41" s="3"/>
    </row>
    <row r="42" spans="4:107" ht="16.2" x14ac:dyDescent="0.3">
      <c r="D42" s="69"/>
      <c r="E42" s="81"/>
      <c r="F42" s="70" t="s">
        <v>167</v>
      </c>
      <c r="G42" s="48"/>
      <c r="H42" s="48">
        <v>600</v>
      </c>
      <c r="I42" s="71"/>
      <c r="M42" s="69"/>
      <c r="N42" s="81"/>
      <c r="O42" s="70" t="s">
        <v>164</v>
      </c>
      <c r="P42" s="48">
        <v>15</v>
      </c>
      <c r="Q42" s="48"/>
      <c r="R42" s="71"/>
      <c r="V42"/>
      <c r="W42"/>
      <c r="X42"/>
      <c r="Y42"/>
      <c r="Z42"/>
      <c r="AA42"/>
      <c r="AE42" s="3"/>
      <c r="AF42" s="3"/>
      <c r="AH42" s="3"/>
      <c r="AI42" s="3"/>
      <c r="AJ42" s="3"/>
      <c r="AN42" s="3"/>
      <c r="AO42" s="3"/>
      <c r="AQ42" s="3"/>
      <c r="AR42" s="3"/>
      <c r="AW42" s="3"/>
      <c r="AX42" s="3"/>
      <c r="AZ42" s="3"/>
      <c r="BA42" s="3"/>
      <c r="BF42" s="3"/>
      <c r="BG42" s="3"/>
      <c r="BI42" s="3"/>
      <c r="BJ42" s="3"/>
      <c r="BO42" s="3"/>
      <c r="BP42" s="3"/>
      <c r="BR42" s="3"/>
      <c r="BS42" s="3"/>
      <c r="BX42" s="3"/>
      <c r="BY42" s="3"/>
      <c r="CA42" s="3"/>
      <c r="CB42" s="3"/>
      <c r="CC42" s="3"/>
      <c r="CG42" s="3"/>
      <c r="CH42" s="3"/>
      <c r="CJ42" s="3"/>
      <c r="CK42" s="3"/>
      <c r="CP42" s="3"/>
      <c r="CQ42" s="3"/>
      <c r="CS42" s="3"/>
      <c r="CT42" s="3"/>
      <c r="CY42" s="3"/>
      <c r="CZ42" s="3"/>
      <c r="DB42" s="3"/>
      <c r="DC42" s="3"/>
    </row>
    <row r="43" spans="4:107" ht="16.2" x14ac:dyDescent="0.3">
      <c r="D43" s="69"/>
      <c r="E43" s="83" t="s">
        <v>99</v>
      </c>
      <c r="F43" s="70" t="s">
        <v>168</v>
      </c>
      <c r="G43" s="48">
        <v>600</v>
      </c>
      <c r="H43" s="48"/>
      <c r="I43" s="71"/>
      <c r="M43" s="69"/>
      <c r="N43" s="81"/>
      <c r="O43" s="70" t="s">
        <v>128</v>
      </c>
      <c r="P43" s="48"/>
      <c r="Q43" s="48">
        <v>95</v>
      </c>
      <c r="R43" s="71"/>
      <c r="V43"/>
      <c r="W43"/>
      <c r="X43"/>
      <c r="Y43"/>
      <c r="Z43"/>
      <c r="AA43"/>
      <c r="AE43" s="3"/>
      <c r="AF43" s="3"/>
      <c r="AH43" s="3"/>
      <c r="AI43" s="3"/>
      <c r="AJ43" s="3"/>
      <c r="AN43" s="3"/>
      <c r="AO43" s="3"/>
      <c r="AQ43" s="3"/>
      <c r="AR43" s="3"/>
      <c r="AW43" s="3"/>
      <c r="AX43" s="3"/>
      <c r="AZ43" s="3"/>
      <c r="BA43" s="3"/>
      <c r="BF43" s="3"/>
      <c r="BG43" s="3"/>
      <c r="BI43" s="3"/>
      <c r="BJ43" s="3"/>
      <c r="BO43" s="3"/>
      <c r="BP43" s="3"/>
      <c r="BR43" s="3"/>
      <c r="BS43" s="3"/>
      <c r="BX43" s="3"/>
      <c r="BY43" s="3"/>
      <c r="CA43" s="3"/>
      <c r="CB43" s="3"/>
      <c r="CC43" s="3"/>
      <c r="CG43" s="3"/>
      <c r="CH43" s="3"/>
      <c r="CJ43" s="3"/>
      <c r="CK43" s="3"/>
      <c r="CP43" s="3"/>
      <c r="CQ43" s="3"/>
      <c r="CS43" s="3"/>
      <c r="CT43" s="3"/>
      <c r="CY43" s="3"/>
      <c r="CZ43" s="3"/>
      <c r="DB43" s="3"/>
      <c r="DC43" s="3"/>
    </row>
    <row r="44" spans="4:107" ht="16.2" x14ac:dyDescent="0.3">
      <c r="D44" s="69"/>
      <c r="E44" s="81"/>
      <c r="F44" s="70" t="s">
        <v>169</v>
      </c>
      <c r="G44" s="48"/>
      <c r="H44" s="48">
        <v>600</v>
      </c>
      <c r="I44" s="71"/>
      <c r="M44" s="69"/>
      <c r="N44" s="83" t="s">
        <v>99</v>
      </c>
      <c r="O44" s="70" t="s">
        <v>252</v>
      </c>
      <c r="P44" s="48">
        <v>1000</v>
      </c>
      <c r="Q44" s="48"/>
      <c r="R44" s="71"/>
      <c r="V44"/>
      <c r="W44"/>
      <c r="X44"/>
      <c r="Y44"/>
      <c r="Z44"/>
      <c r="AA44"/>
      <c r="AE44" s="3"/>
      <c r="AF44" s="3"/>
      <c r="AH44" s="3"/>
      <c r="AI44" s="3"/>
      <c r="AJ44" s="3"/>
      <c r="AN44" s="3"/>
      <c r="AO44" s="3"/>
      <c r="AQ44" s="3"/>
      <c r="AR44" s="3"/>
      <c r="AW44" s="3"/>
      <c r="AX44" s="3"/>
      <c r="AZ44" s="3"/>
      <c r="BA44" s="3"/>
      <c r="BF44" s="3"/>
      <c r="BG44" s="3"/>
      <c r="BI44" s="3"/>
      <c r="BJ44" s="3"/>
      <c r="BO44" s="3"/>
      <c r="BP44" s="3"/>
      <c r="BR44" s="3"/>
      <c r="BS44" s="3"/>
      <c r="BX44" s="3"/>
      <c r="BY44" s="3"/>
      <c r="CA44" s="3"/>
      <c r="CB44" s="3"/>
      <c r="CC44" s="3"/>
      <c r="CG44" s="3"/>
      <c r="CH44" s="3"/>
      <c r="CJ44" s="3"/>
      <c r="CK44" s="3"/>
      <c r="CP44" s="3"/>
      <c r="CQ44" s="3"/>
      <c r="CS44" s="3"/>
      <c r="CT44" s="3"/>
      <c r="CY44" s="3"/>
      <c r="CZ44" s="3"/>
      <c r="DB44" s="3"/>
      <c r="DC44" s="3"/>
    </row>
    <row r="45" spans="4:107" ht="16.2" x14ac:dyDescent="0.3">
      <c r="D45" s="69">
        <v>9</v>
      </c>
      <c r="E45" s="81">
        <v>18</v>
      </c>
      <c r="F45" s="70" t="s">
        <v>170</v>
      </c>
      <c r="G45" s="48">
        <v>273</v>
      </c>
      <c r="H45" s="48"/>
      <c r="I45" s="71"/>
      <c r="M45" s="69"/>
      <c r="N45" s="81"/>
      <c r="O45" s="70" t="s">
        <v>196</v>
      </c>
      <c r="P45" s="48">
        <v>1000</v>
      </c>
      <c r="Q45" s="48"/>
      <c r="R45" s="71"/>
      <c r="V45"/>
      <c r="W45"/>
      <c r="X45"/>
      <c r="Y45"/>
      <c r="Z45"/>
      <c r="AA45"/>
      <c r="AE45" s="3"/>
      <c r="AF45" s="3"/>
      <c r="AH45" s="3"/>
      <c r="AI45" s="3"/>
      <c r="AJ45" s="3"/>
      <c r="AN45" s="3"/>
      <c r="AO45" s="3"/>
      <c r="AQ45" s="3"/>
      <c r="AR45" s="3"/>
      <c r="AW45" s="3"/>
      <c r="AX45" s="3"/>
      <c r="AZ45" s="3"/>
      <c r="BA45" s="3"/>
      <c r="BF45" s="3"/>
      <c r="BG45" s="3"/>
      <c r="BI45" s="3"/>
      <c r="BJ45" s="3"/>
      <c r="BO45" s="3"/>
      <c r="BP45" s="3"/>
      <c r="BR45" s="3"/>
      <c r="BS45" s="3"/>
      <c r="BX45" s="3"/>
      <c r="BY45" s="3"/>
      <c r="CA45" s="3"/>
      <c r="CB45" s="3"/>
      <c r="CC45" s="3"/>
      <c r="CG45" s="3"/>
      <c r="CH45" s="3"/>
      <c r="CJ45" s="3"/>
      <c r="CK45" s="3"/>
      <c r="CP45" s="3"/>
      <c r="CQ45" s="3"/>
      <c r="CS45" s="3"/>
      <c r="CT45" s="3"/>
      <c r="CY45" s="3"/>
      <c r="CZ45" s="3"/>
      <c r="DB45" s="3"/>
      <c r="DC45" s="3"/>
    </row>
    <row r="46" spans="4:107" ht="16.2" x14ac:dyDescent="0.3">
      <c r="D46" s="69"/>
      <c r="E46" s="81"/>
      <c r="F46" s="70" t="s">
        <v>171</v>
      </c>
      <c r="G46" s="48"/>
      <c r="H46" s="48">
        <v>273</v>
      </c>
      <c r="I46" s="71"/>
      <c r="M46" s="69"/>
      <c r="N46" s="81"/>
      <c r="O46" s="70" t="s">
        <v>138</v>
      </c>
      <c r="P46" s="48"/>
      <c r="Q46" s="48">
        <v>1000</v>
      </c>
      <c r="R46" s="71"/>
      <c r="V46"/>
      <c r="W46"/>
      <c r="X46"/>
      <c r="Y46"/>
      <c r="Z46"/>
      <c r="AA46"/>
      <c r="AE46" s="3"/>
      <c r="AF46" s="3"/>
      <c r="AH46" s="3"/>
      <c r="AI46" s="3"/>
      <c r="AJ46" s="3"/>
      <c r="AN46" s="3"/>
      <c r="AO46" s="3"/>
      <c r="AQ46" s="3"/>
      <c r="AR46" s="3"/>
      <c r="AW46" s="3"/>
      <c r="AX46" s="3"/>
      <c r="AZ46" s="3"/>
      <c r="BA46" s="3"/>
      <c r="BF46" s="3"/>
      <c r="BG46" s="3"/>
      <c r="BI46" s="3"/>
      <c r="BJ46" s="3"/>
      <c r="BO46" s="3"/>
      <c r="BP46" s="3"/>
      <c r="BR46" s="3"/>
      <c r="BS46" s="3"/>
      <c r="BX46" s="3"/>
      <c r="BY46" s="3"/>
      <c r="CA46" s="3"/>
      <c r="CB46" s="3"/>
      <c r="CC46" s="3"/>
      <c r="CG46" s="3"/>
      <c r="CH46" s="3"/>
      <c r="CJ46" s="3"/>
      <c r="CK46" s="3"/>
      <c r="CP46" s="3"/>
      <c r="CQ46" s="3"/>
      <c r="CS46" s="3"/>
      <c r="CT46" s="3"/>
      <c r="CY46" s="3"/>
      <c r="CZ46" s="3"/>
      <c r="DB46" s="3"/>
      <c r="DC46" s="3"/>
    </row>
    <row r="47" spans="4:107" ht="16.2" x14ac:dyDescent="0.3">
      <c r="D47" s="69">
        <v>9</v>
      </c>
      <c r="E47" s="81">
        <v>19</v>
      </c>
      <c r="F47" s="70" t="s">
        <v>46</v>
      </c>
      <c r="G47" s="48">
        <v>116</v>
      </c>
      <c r="H47" s="48"/>
      <c r="I47" s="71"/>
      <c r="M47" s="69"/>
      <c r="N47" s="81"/>
      <c r="O47" s="70" t="s">
        <v>167</v>
      </c>
      <c r="P47" s="48"/>
      <c r="Q47" s="48">
        <v>1000</v>
      </c>
      <c r="R47" s="71"/>
      <c r="V47"/>
      <c r="W47"/>
      <c r="X47"/>
      <c r="Y47"/>
      <c r="Z47"/>
      <c r="AA47"/>
      <c r="AE47" s="3"/>
      <c r="AF47" s="3"/>
      <c r="AH47" s="3"/>
      <c r="AI47" s="3"/>
      <c r="AJ47" s="3"/>
      <c r="AN47" s="3"/>
      <c r="AO47" s="3"/>
      <c r="AQ47" s="3"/>
      <c r="AR47" s="3"/>
      <c r="AW47" s="3"/>
      <c r="AX47" s="3"/>
      <c r="AZ47" s="3"/>
      <c r="BA47" s="3"/>
      <c r="BF47" s="3"/>
      <c r="BG47" s="3"/>
      <c r="BI47" s="3"/>
      <c r="BJ47" s="3"/>
      <c r="BO47" s="3"/>
      <c r="BP47" s="3"/>
      <c r="BR47" s="3"/>
      <c r="BS47" s="3"/>
      <c r="BX47" s="3"/>
      <c r="BY47" s="3"/>
      <c r="CA47" s="3"/>
      <c r="CB47" s="3"/>
      <c r="CC47" s="3"/>
      <c r="CG47" s="3"/>
      <c r="CH47" s="3"/>
      <c r="CJ47" s="3"/>
      <c r="CK47" s="3"/>
      <c r="CP47" s="3"/>
      <c r="CQ47" s="3"/>
      <c r="CS47" s="3"/>
      <c r="CT47" s="3"/>
      <c r="CY47" s="3"/>
      <c r="CZ47" s="3"/>
      <c r="DB47" s="3"/>
      <c r="DC47" s="3"/>
    </row>
    <row r="48" spans="4:107" ht="16.2" x14ac:dyDescent="0.3">
      <c r="D48" s="69"/>
      <c r="E48" s="81"/>
      <c r="F48" s="70" t="s">
        <v>163</v>
      </c>
      <c r="G48" s="48"/>
      <c r="H48" s="48">
        <v>116</v>
      </c>
      <c r="I48" s="71"/>
      <c r="M48" s="69"/>
      <c r="N48" s="83" t="s">
        <v>99</v>
      </c>
      <c r="O48" s="70" t="s">
        <v>132</v>
      </c>
      <c r="P48" s="48">
        <v>116</v>
      </c>
      <c r="Q48" s="48"/>
      <c r="R48" s="71"/>
      <c r="V48"/>
      <c r="W48"/>
      <c r="X48"/>
      <c r="Y48"/>
      <c r="Z48"/>
      <c r="AA48"/>
      <c r="AE48" s="3"/>
      <c r="AF48" s="3"/>
      <c r="AH48" s="3"/>
      <c r="AI48" s="3"/>
      <c r="AJ48" s="3"/>
      <c r="AN48" s="3"/>
      <c r="AO48" s="3"/>
      <c r="AQ48" s="3"/>
      <c r="AR48" s="3"/>
      <c r="AW48" s="3"/>
      <c r="AX48" s="3"/>
      <c r="AZ48" s="3"/>
      <c r="BA48" s="3"/>
      <c r="BF48" s="3"/>
      <c r="BG48" s="3"/>
      <c r="BI48" s="3"/>
      <c r="BJ48" s="3"/>
      <c r="BO48" s="3"/>
      <c r="BP48" s="3"/>
      <c r="BR48" s="3"/>
      <c r="BS48" s="3"/>
      <c r="BX48" s="3"/>
      <c r="BY48" s="3"/>
      <c r="CA48" s="3"/>
      <c r="CB48" s="3"/>
      <c r="CC48" s="3"/>
      <c r="CG48" s="3"/>
      <c r="CH48" s="3"/>
      <c r="CJ48" s="3"/>
      <c r="CK48" s="3"/>
      <c r="CP48" s="3"/>
      <c r="CQ48" s="3"/>
      <c r="CS48" s="3"/>
      <c r="CT48" s="3"/>
      <c r="CY48" s="3"/>
      <c r="CZ48" s="3"/>
      <c r="DB48" s="3"/>
      <c r="DC48" s="3"/>
    </row>
    <row r="49" spans="4:107" ht="16.2" x14ac:dyDescent="0.3">
      <c r="D49" s="69"/>
      <c r="E49" s="83" t="s">
        <v>99</v>
      </c>
      <c r="F49" s="70" t="s">
        <v>124</v>
      </c>
      <c r="G49" s="48">
        <v>70</v>
      </c>
      <c r="H49" s="48"/>
      <c r="I49" s="71"/>
      <c r="M49" s="69"/>
      <c r="N49" s="81"/>
      <c r="O49" s="70" t="s">
        <v>89</v>
      </c>
      <c r="P49" s="48">
        <v>95</v>
      </c>
      <c r="Q49" s="48"/>
      <c r="R49" s="71"/>
      <c r="V49"/>
      <c r="W49"/>
      <c r="X49"/>
      <c r="Y49"/>
      <c r="Z49"/>
      <c r="AA49"/>
      <c r="AE49" s="3"/>
      <c r="AF49" s="3"/>
      <c r="AH49" s="3"/>
      <c r="AI49" s="3"/>
      <c r="AJ49" s="3"/>
      <c r="AN49" s="3"/>
      <c r="AO49" s="3"/>
      <c r="AQ49" s="3"/>
      <c r="AR49" s="3"/>
      <c r="AW49" s="3"/>
      <c r="AX49" s="3"/>
      <c r="AZ49" s="3"/>
      <c r="BA49" s="3"/>
      <c r="BF49" s="3"/>
      <c r="BG49" s="3"/>
      <c r="BI49" s="3"/>
      <c r="BJ49" s="3"/>
      <c r="BO49" s="3"/>
      <c r="BP49" s="3"/>
      <c r="BR49" s="3"/>
      <c r="BS49" s="3"/>
      <c r="BX49" s="3"/>
      <c r="BY49" s="3"/>
      <c r="CA49" s="3"/>
      <c r="CB49" s="3"/>
      <c r="CC49" s="3"/>
      <c r="CG49" s="3"/>
      <c r="CH49" s="3"/>
      <c r="CJ49" s="3"/>
      <c r="CK49" s="3"/>
      <c r="CP49" s="3"/>
      <c r="CQ49" s="3"/>
      <c r="CS49" s="3"/>
      <c r="CT49" s="3"/>
      <c r="CY49" s="3"/>
      <c r="CZ49" s="3"/>
      <c r="DB49" s="3"/>
      <c r="DC49" s="3"/>
    </row>
    <row r="50" spans="4:107" ht="16.2" x14ac:dyDescent="0.3">
      <c r="D50" s="69"/>
      <c r="E50" s="81"/>
      <c r="F50" s="70" t="s">
        <v>166</v>
      </c>
      <c r="G50" s="48">
        <v>10</v>
      </c>
      <c r="H50" s="48"/>
      <c r="I50" s="71"/>
      <c r="M50" s="69"/>
      <c r="N50" s="81"/>
      <c r="O50" s="70" t="s">
        <v>123</v>
      </c>
      <c r="P50" s="48"/>
      <c r="Q50" s="48">
        <v>211</v>
      </c>
      <c r="R50" s="71"/>
      <c r="V50"/>
      <c r="W50"/>
      <c r="X50"/>
      <c r="Y50"/>
      <c r="Z50"/>
      <c r="AA50"/>
      <c r="AE50" s="3"/>
      <c r="AF50" s="3"/>
      <c r="AH50" s="3"/>
      <c r="AI50" s="3"/>
      <c r="AJ50" s="3"/>
      <c r="AN50" s="3"/>
      <c r="AO50" s="3"/>
      <c r="AQ50" s="3"/>
      <c r="AR50" s="3"/>
      <c r="AW50" s="3"/>
      <c r="AX50" s="3"/>
      <c r="AZ50" s="3"/>
      <c r="BA50" s="3"/>
      <c r="BF50" s="3"/>
      <c r="BG50" s="3"/>
      <c r="BI50" s="3"/>
      <c r="BJ50" s="3"/>
      <c r="BO50" s="3"/>
      <c r="BP50" s="3"/>
      <c r="BR50" s="3"/>
      <c r="BS50" s="3"/>
      <c r="BX50" s="3"/>
      <c r="BY50" s="3"/>
      <c r="CA50" s="3"/>
      <c r="CB50" s="3"/>
      <c r="CC50" s="3"/>
      <c r="CG50" s="3"/>
      <c r="CH50" s="3"/>
      <c r="CJ50" s="3"/>
      <c r="CK50" s="3"/>
      <c r="CP50" s="3"/>
      <c r="CQ50" s="3"/>
      <c r="CS50" s="3"/>
      <c r="CT50" s="3"/>
      <c r="CY50" s="3"/>
      <c r="CZ50" s="3"/>
      <c r="DB50" s="3"/>
      <c r="DC50" s="3"/>
    </row>
    <row r="51" spans="4:107" ht="16.2" x14ac:dyDescent="0.3">
      <c r="D51" s="69"/>
      <c r="E51" s="81"/>
      <c r="F51" s="70" t="s">
        <v>173</v>
      </c>
      <c r="G51" s="48"/>
      <c r="H51" s="48">
        <v>80</v>
      </c>
      <c r="I51" s="71"/>
      <c r="M51" s="69"/>
      <c r="N51" s="83" t="s">
        <v>99</v>
      </c>
      <c r="O51" s="70" t="s">
        <v>253</v>
      </c>
      <c r="P51" s="48">
        <v>1000</v>
      </c>
      <c r="Q51" s="48"/>
      <c r="R51" s="71"/>
      <c r="V51"/>
      <c r="W51"/>
      <c r="X51"/>
      <c r="Y51"/>
      <c r="Z51"/>
      <c r="AA51"/>
      <c r="AE51" s="3"/>
      <c r="AF51" s="3"/>
      <c r="AH51" s="3"/>
      <c r="AI51" s="3"/>
      <c r="AJ51" s="3"/>
      <c r="AN51" s="3"/>
      <c r="AO51" s="3"/>
      <c r="AQ51" s="3"/>
      <c r="AR51" s="3"/>
      <c r="AW51" s="3"/>
      <c r="AX51" s="3"/>
      <c r="AZ51" s="3"/>
      <c r="BA51" s="3"/>
      <c r="BF51" s="3"/>
      <c r="BG51" s="3"/>
      <c r="BI51" s="3"/>
      <c r="BJ51" s="3"/>
      <c r="BO51" s="3"/>
      <c r="BP51" s="3"/>
      <c r="BR51" s="3"/>
      <c r="BS51" s="3"/>
      <c r="BX51" s="3"/>
      <c r="BY51" s="3"/>
      <c r="CA51" s="3"/>
      <c r="CB51" s="3"/>
      <c r="CC51" s="3"/>
      <c r="CG51" s="3"/>
      <c r="CH51" s="3"/>
      <c r="CJ51" s="3"/>
      <c r="CK51" s="3"/>
      <c r="CP51" s="3"/>
      <c r="CQ51" s="3"/>
      <c r="CS51" s="3"/>
      <c r="CT51" s="3"/>
      <c r="CY51" s="3"/>
      <c r="CZ51" s="3"/>
      <c r="DB51" s="3"/>
      <c r="DC51" s="3"/>
    </row>
    <row r="52" spans="4:107" ht="16.2" x14ac:dyDescent="0.3">
      <c r="D52" s="69"/>
      <c r="E52" s="83" t="s">
        <v>99</v>
      </c>
      <c r="F52" s="70" t="s">
        <v>174</v>
      </c>
      <c r="G52" s="48">
        <v>116</v>
      </c>
      <c r="H52" s="48"/>
      <c r="I52" s="71"/>
      <c r="M52" s="69"/>
      <c r="N52" s="81"/>
      <c r="O52" s="70" t="s">
        <v>254</v>
      </c>
      <c r="P52" s="48"/>
      <c r="Q52" s="48">
        <v>1000</v>
      </c>
      <c r="R52" s="71"/>
      <c r="V52"/>
      <c r="W52"/>
      <c r="X52"/>
      <c r="Y52"/>
      <c r="Z52"/>
      <c r="AA52"/>
      <c r="AE52" s="3"/>
      <c r="AF52" s="3"/>
      <c r="AH52" s="3"/>
      <c r="AI52" s="3"/>
      <c r="AJ52" s="3"/>
      <c r="AN52" s="3"/>
      <c r="AO52" s="3"/>
      <c r="AQ52" s="3"/>
      <c r="AR52" s="3"/>
      <c r="AW52" s="3"/>
      <c r="AX52" s="3"/>
      <c r="AZ52" s="3"/>
      <c r="BA52" s="3"/>
      <c r="BF52" s="3"/>
      <c r="BG52" s="3"/>
      <c r="BI52" s="3"/>
      <c r="BJ52" s="3"/>
      <c r="BO52" s="3"/>
      <c r="BP52" s="3"/>
      <c r="BR52" s="3"/>
      <c r="BS52" s="3"/>
      <c r="BX52" s="3"/>
      <c r="BY52" s="3"/>
      <c r="CA52" s="3"/>
      <c r="CB52" s="3"/>
      <c r="CC52" s="3"/>
      <c r="CG52" s="3"/>
      <c r="CH52" s="3"/>
      <c r="CJ52" s="3"/>
      <c r="CK52" s="3"/>
      <c r="CP52" s="3"/>
      <c r="CQ52" s="3"/>
      <c r="CS52" s="3"/>
      <c r="CT52" s="3"/>
      <c r="CY52" s="3"/>
      <c r="CZ52" s="3"/>
      <c r="DB52" s="3"/>
      <c r="DC52" s="3"/>
    </row>
    <row r="53" spans="4:107" ht="16.2" x14ac:dyDescent="0.3">
      <c r="D53" s="69"/>
      <c r="E53" s="81"/>
      <c r="F53" s="70" t="s">
        <v>175</v>
      </c>
      <c r="G53" s="48">
        <v>70</v>
      </c>
      <c r="H53" s="48"/>
      <c r="I53" s="71"/>
      <c r="M53" s="69"/>
      <c r="N53" s="83" t="s">
        <v>99</v>
      </c>
      <c r="O53" s="70" t="s">
        <v>255</v>
      </c>
      <c r="P53" s="48">
        <v>1000</v>
      </c>
      <c r="Q53" s="48"/>
      <c r="R53" s="71"/>
      <c r="V53"/>
      <c r="W53"/>
      <c r="X53"/>
      <c r="Y53"/>
      <c r="Z53"/>
      <c r="AA53"/>
      <c r="AE53" s="3"/>
      <c r="AF53" s="3"/>
      <c r="AH53" s="3"/>
      <c r="AI53" s="3"/>
      <c r="AJ53" s="3"/>
      <c r="AN53" s="3"/>
      <c r="AO53" s="3"/>
      <c r="AQ53" s="3"/>
      <c r="AR53" s="3"/>
      <c r="AW53" s="3"/>
      <c r="AX53" s="3"/>
      <c r="AZ53" s="3"/>
      <c r="BA53" s="3"/>
      <c r="BF53" s="3"/>
      <c r="BG53" s="3"/>
      <c r="BI53" s="3"/>
      <c r="BJ53" s="3"/>
      <c r="BO53" s="3"/>
      <c r="BP53" s="3"/>
      <c r="BR53" s="3"/>
      <c r="BS53" s="3"/>
      <c r="BX53" s="3"/>
      <c r="BY53" s="3"/>
      <c r="CA53" s="3"/>
      <c r="CB53" s="3"/>
      <c r="CC53" s="3"/>
      <c r="CG53" s="3"/>
      <c r="CH53" s="3"/>
      <c r="CJ53" s="3"/>
      <c r="CK53" s="3"/>
      <c r="CP53" s="3"/>
      <c r="CQ53" s="3"/>
      <c r="CS53" s="3"/>
      <c r="CT53" s="3"/>
      <c r="CY53" s="3"/>
      <c r="CZ53" s="3"/>
      <c r="DB53" s="3"/>
      <c r="DC53" s="3"/>
    </row>
    <row r="54" spans="4:107" ht="16.2" x14ac:dyDescent="0.3">
      <c r="D54" s="69"/>
      <c r="E54" s="81"/>
      <c r="F54" s="70" t="s">
        <v>176</v>
      </c>
      <c r="G54" s="48"/>
      <c r="H54" s="48">
        <v>186</v>
      </c>
      <c r="I54" s="71"/>
      <c r="M54" s="69"/>
      <c r="N54" s="81"/>
      <c r="O54" s="70" t="s">
        <v>256</v>
      </c>
      <c r="P54" s="48"/>
      <c r="Q54" s="48">
        <v>1000</v>
      </c>
      <c r="R54" s="71"/>
      <c r="V54"/>
      <c r="W54"/>
      <c r="X54"/>
      <c r="Y54"/>
      <c r="Z54"/>
      <c r="AA54"/>
      <c r="AE54" s="3"/>
      <c r="AF54" s="3"/>
      <c r="AH54" s="3"/>
      <c r="AI54" s="3"/>
      <c r="AJ54" s="3"/>
      <c r="AN54" s="3"/>
      <c r="AO54" s="3"/>
      <c r="AQ54" s="3"/>
      <c r="AR54" s="3"/>
      <c r="AW54" s="3"/>
      <c r="AX54" s="3"/>
      <c r="AZ54" s="3"/>
      <c r="BA54" s="3"/>
      <c r="BF54" s="3"/>
      <c r="BG54" s="3"/>
      <c r="BI54" s="3"/>
      <c r="BJ54" s="3"/>
      <c r="BO54" s="3"/>
      <c r="BP54" s="3"/>
      <c r="BR54" s="3"/>
      <c r="BS54" s="3"/>
      <c r="BX54" s="3"/>
      <c r="BY54" s="3"/>
      <c r="CA54" s="3"/>
      <c r="CB54" s="3"/>
      <c r="CC54" s="3"/>
      <c r="CG54" s="3"/>
      <c r="CH54" s="3"/>
      <c r="CJ54" s="3"/>
      <c r="CK54" s="3"/>
      <c r="CP54" s="3"/>
      <c r="CQ54" s="3"/>
      <c r="CS54" s="3"/>
      <c r="CT54" s="3"/>
      <c r="CY54" s="3"/>
      <c r="CZ54" s="3"/>
      <c r="DB54" s="3"/>
      <c r="DC54" s="3"/>
    </row>
    <row r="55" spans="4:107" ht="16.2" x14ac:dyDescent="0.3">
      <c r="D55" s="69"/>
      <c r="E55" s="83" t="s">
        <v>99</v>
      </c>
      <c r="F55" s="70" t="s">
        <v>175</v>
      </c>
      <c r="G55" s="48">
        <v>10</v>
      </c>
      <c r="H55" s="48"/>
      <c r="I55" s="71"/>
      <c r="M55" s="69"/>
      <c r="N55" s="83" t="s">
        <v>99</v>
      </c>
      <c r="O55" s="70" t="s">
        <v>257</v>
      </c>
      <c r="P55" s="48">
        <v>10</v>
      </c>
      <c r="Q55" s="48"/>
      <c r="R55" s="71"/>
      <c r="V55"/>
      <c r="W55"/>
      <c r="X55"/>
      <c r="Y55"/>
      <c r="Z55"/>
      <c r="AA55"/>
      <c r="AE55" s="3"/>
      <c r="AF55" s="3"/>
      <c r="AH55" s="3"/>
      <c r="AI55" s="3"/>
      <c r="AJ55" s="3"/>
      <c r="AN55" s="3"/>
      <c r="AO55" s="3"/>
      <c r="AQ55" s="3"/>
      <c r="AR55" s="3"/>
      <c r="AW55" s="3"/>
      <c r="AX55" s="3"/>
      <c r="AZ55" s="3"/>
      <c r="BA55" s="3"/>
      <c r="BF55" s="3"/>
      <c r="BG55" s="3"/>
      <c r="BI55" s="3"/>
      <c r="BJ55" s="3"/>
      <c r="BO55" s="3"/>
      <c r="BP55" s="3"/>
      <c r="BR55" s="3"/>
      <c r="BS55" s="3"/>
      <c r="BX55" s="3"/>
      <c r="BY55" s="3"/>
      <c r="CA55" s="3"/>
      <c r="CB55" s="3"/>
      <c r="CC55" s="3"/>
      <c r="CG55" s="3"/>
      <c r="CH55" s="3"/>
      <c r="CJ55" s="3"/>
      <c r="CK55" s="3"/>
      <c r="CP55" s="3"/>
      <c r="CQ55" s="3"/>
      <c r="CS55" s="3"/>
      <c r="CT55" s="3"/>
      <c r="CY55" s="3"/>
      <c r="CZ55" s="3"/>
      <c r="DB55" s="3"/>
      <c r="DC55" s="3"/>
    </row>
    <row r="56" spans="4:107" ht="16.2" x14ac:dyDescent="0.3">
      <c r="D56" s="69"/>
      <c r="E56" s="81"/>
      <c r="F56" s="70" t="s">
        <v>177</v>
      </c>
      <c r="G56" s="48"/>
      <c r="H56" s="48">
        <v>10</v>
      </c>
      <c r="I56" s="71"/>
      <c r="M56" s="69"/>
      <c r="N56" s="81"/>
      <c r="O56" s="70" t="s">
        <v>254</v>
      </c>
      <c r="P56" s="48"/>
      <c r="Q56" s="48">
        <v>10</v>
      </c>
      <c r="R56" s="71"/>
      <c r="V56"/>
      <c r="W56"/>
      <c r="X56"/>
      <c r="Y56"/>
      <c r="Z56"/>
      <c r="AA56"/>
      <c r="AE56" s="3"/>
      <c r="AF56" s="3"/>
      <c r="AH56" s="3"/>
      <c r="AI56" s="3"/>
      <c r="AJ56" s="3"/>
      <c r="AN56" s="3"/>
      <c r="AO56" s="3"/>
      <c r="AQ56" s="3"/>
      <c r="AR56" s="3"/>
      <c r="AW56" s="3"/>
      <c r="AX56" s="3"/>
      <c r="AZ56" s="3"/>
      <c r="BA56" s="3"/>
      <c r="BF56" s="3"/>
      <c r="BG56" s="3"/>
      <c r="BI56" s="3"/>
      <c r="BJ56" s="3"/>
      <c r="BO56" s="3"/>
      <c r="BP56" s="3"/>
      <c r="BR56" s="3"/>
      <c r="BS56" s="3"/>
      <c r="BX56" s="3"/>
      <c r="BY56" s="3"/>
      <c r="CA56" s="3"/>
      <c r="CB56" s="3"/>
      <c r="CC56" s="3"/>
      <c r="CG56" s="3"/>
      <c r="CH56" s="3"/>
      <c r="CJ56" s="3"/>
      <c r="CK56" s="3"/>
      <c r="CP56" s="3"/>
      <c r="CQ56" s="3"/>
      <c r="CS56" s="3"/>
      <c r="CT56" s="3"/>
      <c r="CY56" s="3"/>
      <c r="CZ56" s="3"/>
      <c r="DB56" s="3"/>
      <c r="DC56" s="3"/>
    </row>
    <row r="57" spans="4:107" ht="16.2" x14ac:dyDescent="0.3">
      <c r="D57" s="69">
        <v>9</v>
      </c>
      <c r="E57" s="81">
        <v>20</v>
      </c>
      <c r="F57" s="70" t="s">
        <v>46</v>
      </c>
      <c r="G57" s="48">
        <v>116</v>
      </c>
      <c r="H57" s="48"/>
      <c r="I57" s="71"/>
      <c r="M57" s="69">
        <v>10</v>
      </c>
      <c r="N57" s="81">
        <v>6</v>
      </c>
      <c r="O57" s="70" t="s">
        <v>46</v>
      </c>
      <c r="P57" s="48">
        <v>116</v>
      </c>
      <c r="Q57" s="48"/>
      <c r="R57" s="71"/>
      <c r="V57"/>
      <c r="W57"/>
      <c r="X57"/>
      <c r="Y57"/>
      <c r="Z57"/>
      <c r="AA57"/>
      <c r="AE57" s="3"/>
      <c r="AF57" s="3"/>
      <c r="AH57" s="3"/>
      <c r="AI57" s="3"/>
      <c r="AJ57" s="3"/>
      <c r="AN57" s="3"/>
      <c r="AO57" s="3"/>
      <c r="AQ57" s="3"/>
      <c r="AR57" s="3"/>
      <c r="AW57" s="3"/>
      <c r="AX57" s="3"/>
      <c r="AZ57" s="3"/>
      <c r="BA57" s="3"/>
      <c r="BF57" s="3"/>
      <c r="BG57" s="3"/>
      <c r="BI57" s="3"/>
      <c r="BJ57" s="3"/>
      <c r="BO57" s="3"/>
      <c r="BP57" s="3"/>
      <c r="BR57" s="3"/>
      <c r="BS57" s="3"/>
      <c r="BX57" s="3"/>
      <c r="BY57" s="3"/>
      <c r="CA57" s="3"/>
      <c r="CB57" s="3"/>
      <c r="CC57" s="3"/>
      <c r="CG57" s="3"/>
      <c r="CH57" s="3"/>
      <c r="CJ57" s="3"/>
      <c r="CK57" s="3"/>
      <c r="CP57" s="3"/>
      <c r="CQ57" s="3"/>
      <c r="CS57" s="3"/>
      <c r="CT57" s="3"/>
      <c r="CY57" s="3"/>
      <c r="CZ57" s="3"/>
      <c r="DB57" s="3"/>
      <c r="DC57" s="3"/>
    </row>
    <row r="58" spans="4:107" ht="16.2" x14ac:dyDescent="0.3">
      <c r="D58" s="69"/>
      <c r="E58" s="83"/>
      <c r="F58" s="70" t="s">
        <v>180</v>
      </c>
      <c r="G58" s="48">
        <v>16</v>
      </c>
      <c r="H58" s="48"/>
      <c r="I58" s="71"/>
      <c r="M58" s="69"/>
      <c r="N58" s="81"/>
      <c r="O58" s="70" t="s">
        <v>163</v>
      </c>
      <c r="P58" s="48"/>
      <c r="Q58" s="48">
        <v>116</v>
      </c>
      <c r="R58" s="71"/>
      <c r="V58"/>
      <c r="W58"/>
      <c r="X58"/>
      <c r="Y58"/>
      <c r="Z58"/>
      <c r="AA58"/>
      <c r="AE58" s="3"/>
      <c r="AF58" s="3"/>
      <c r="AH58" s="3"/>
      <c r="AI58" s="3"/>
      <c r="AJ58" s="3"/>
      <c r="AN58" s="3"/>
      <c r="AO58" s="3"/>
      <c r="AQ58" s="3"/>
      <c r="AR58" s="3"/>
      <c r="AW58" s="3"/>
      <c r="AX58" s="3"/>
      <c r="AZ58" s="3"/>
      <c r="BA58" s="3"/>
      <c r="BF58" s="3"/>
      <c r="BG58" s="3"/>
      <c r="BI58" s="3"/>
      <c r="BJ58" s="3"/>
      <c r="BO58" s="3"/>
      <c r="BP58" s="3"/>
      <c r="BR58" s="3"/>
      <c r="BS58" s="3"/>
      <c r="BX58" s="3"/>
      <c r="BY58" s="3"/>
      <c r="CA58" s="3"/>
      <c r="CB58" s="3"/>
      <c r="CC58" s="3"/>
      <c r="CG58" s="3"/>
      <c r="CH58" s="3"/>
      <c r="CJ58" s="3"/>
      <c r="CK58" s="3"/>
      <c r="CP58" s="3"/>
      <c r="CQ58" s="3"/>
      <c r="CS58" s="3"/>
      <c r="CT58" s="3"/>
      <c r="CY58" s="3"/>
      <c r="CZ58" s="3"/>
      <c r="DB58" s="3"/>
      <c r="DC58" s="3"/>
    </row>
    <row r="59" spans="4:107" ht="16.2" x14ac:dyDescent="0.3">
      <c r="D59" s="69"/>
      <c r="E59" s="81"/>
      <c r="F59" s="70" t="s">
        <v>181</v>
      </c>
      <c r="G59" s="48"/>
      <c r="H59" s="48">
        <v>116</v>
      </c>
      <c r="I59" s="71"/>
      <c r="M59" s="69"/>
      <c r="N59" s="83" t="s">
        <v>99</v>
      </c>
      <c r="O59" s="70" t="s">
        <v>124</v>
      </c>
      <c r="P59" s="48">
        <v>40</v>
      </c>
      <c r="Q59" s="48"/>
      <c r="R59" s="71"/>
      <c r="V59"/>
      <c r="W59"/>
      <c r="X59"/>
      <c r="Y59"/>
      <c r="Z59"/>
      <c r="AA59"/>
      <c r="AE59" s="3"/>
      <c r="AF59" s="3"/>
      <c r="AH59" s="3"/>
      <c r="AI59" s="3"/>
      <c r="AJ59" s="3"/>
      <c r="AN59" s="3"/>
      <c r="AO59" s="3"/>
      <c r="AQ59" s="3"/>
      <c r="AR59" s="3"/>
      <c r="AW59" s="3"/>
      <c r="AX59" s="3"/>
      <c r="AZ59" s="3"/>
      <c r="BA59" s="3"/>
      <c r="BF59" s="3"/>
      <c r="BG59" s="3"/>
      <c r="BI59" s="3"/>
      <c r="BJ59" s="3"/>
      <c r="BO59" s="3"/>
      <c r="BP59" s="3"/>
      <c r="BR59" s="3"/>
      <c r="BS59" s="3"/>
      <c r="BX59" s="3"/>
      <c r="BY59" s="3"/>
      <c r="CA59" s="3"/>
      <c r="CB59" s="3"/>
      <c r="CC59" s="3"/>
      <c r="CG59" s="3"/>
      <c r="CH59" s="3"/>
      <c r="CJ59" s="3"/>
      <c r="CK59" s="3"/>
      <c r="CP59" s="3"/>
      <c r="CQ59" s="3"/>
      <c r="CS59" s="3"/>
      <c r="CT59" s="3"/>
      <c r="CY59" s="3"/>
      <c r="CZ59" s="3"/>
      <c r="DB59" s="3"/>
      <c r="DC59" s="3"/>
    </row>
    <row r="60" spans="4:107" ht="16.2" x14ac:dyDescent="0.3">
      <c r="D60" s="69"/>
      <c r="E60" s="81"/>
      <c r="F60" s="70" t="s">
        <v>182</v>
      </c>
      <c r="G60" s="48"/>
      <c r="H60" s="48">
        <v>16</v>
      </c>
      <c r="I60" s="71"/>
      <c r="M60" s="69"/>
      <c r="N60" s="81"/>
      <c r="O60" s="70" t="s">
        <v>44</v>
      </c>
      <c r="P60" s="48">
        <v>520</v>
      </c>
      <c r="Q60" s="48"/>
      <c r="R60" s="71"/>
      <c r="V60"/>
      <c r="W60"/>
      <c r="X60"/>
      <c r="Y60"/>
      <c r="Z60"/>
      <c r="AA60"/>
      <c r="AE60" s="3"/>
      <c r="AF60" s="3"/>
      <c r="AH60" s="3"/>
      <c r="AI60" s="3"/>
      <c r="AJ60" s="3"/>
      <c r="AN60" s="3"/>
      <c r="AO60" s="3"/>
      <c r="AQ60" s="3"/>
      <c r="AR60" s="3"/>
      <c r="AW60" s="3"/>
      <c r="AX60" s="3"/>
      <c r="AZ60" s="3"/>
      <c r="BA60" s="3"/>
      <c r="BF60" s="3"/>
      <c r="BG60" s="3"/>
      <c r="BI60" s="3"/>
      <c r="BJ60" s="3"/>
      <c r="BO60" s="3"/>
      <c r="BP60" s="3"/>
      <c r="BR60" s="3"/>
      <c r="BS60" s="3"/>
      <c r="BX60" s="3"/>
      <c r="BY60" s="3"/>
      <c r="CA60" s="3"/>
      <c r="CB60" s="3"/>
      <c r="CC60" s="3"/>
      <c r="CG60" s="3"/>
      <c r="CH60" s="3"/>
      <c r="CJ60" s="3"/>
      <c r="CK60" s="3"/>
      <c r="CP60" s="3"/>
      <c r="CQ60" s="3"/>
      <c r="CS60" s="3"/>
      <c r="CT60" s="3"/>
      <c r="CY60" s="3"/>
      <c r="CZ60" s="3"/>
      <c r="DB60" s="3"/>
      <c r="DC60" s="3"/>
    </row>
    <row r="61" spans="4:107" ht="16.2" x14ac:dyDescent="0.3">
      <c r="D61" s="69"/>
      <c r="E61" s="83" t="s">
        <v>99</v>
      </c>
      <c r="F61" s="70" t="s">
        <v>178</v>
      </c>
      <c r="G61" s="48">
        <f>50+50</f>
        <v>100</v>
      </c>
      <c r="H61" s="48"/>
      <c r="I61" s="71"/>
      <c r="M61" s="69"/>
      <c r="N61" s="81"/>
      <c r="O61" s="70" t="s">
        <v>258</v>
      </c>
      <c r="P61" s="48"/>
      <c r="Q61" s="48">
        <v>560</v>
      </c>
      <c r="R61" s="71"/>
      <c r="V61"/>
      <c r="W61"/>
      <c r="X61"/>
      <c r="Y61"/>
      <c r="Z61"/>
      <c r="AA61"/>
      <c r="AE61" s="3"/>
      <c r="AF61" s="3"/>
      <c r="AH61" s="3"/>
      <c r="AI61" s="3"/>
      <c r="AJ61" s="3"/>
      <c r="AN61" s="3"/>
      <c r="AO61" s="3"/>
      <c r="AQ61" s="3"/>
      <c r="AR61" s="3"/>
      <c r="AW61" s="3"/>
      <c r="AX61" s="3"/>
      <c r="AZ61" s="3"/>
      <c r="BA61" s="3"/>
      <c r="BF61" s="3"/>
      <c r="BG61" s="3"/>
      <c r="BI61" s="3"/>
      <c r="BJ61" s="3"/>
      <c r="BO61" s="3"/>
      <c r="BP61" s="3"/>
      <c r="BR61" s="3"/>
      <c r="BS61" s="3"/>
      <c r="BX61" s="3"/>
      <c r="BY61" s="3"/>
      <c r="CA61" s="3"/>
      <c r="CB61" s="3"/>
      <c r="CC61" s="3"/>
      <c r="CG61" s="3"/>
      <c r="CH61" s="3"/>
      <c r="CJ61" s="3"/>
      <c r="CK61" s="3"/>
      <c r="CP61" s="3"/>
      <c r="CQ61" s="3"/>
      <c r="CS61" s="3"/>
      <c r="CT61" s="3"/>
      <c r="CY61" s="3"/>
      <c r="CZ61" s="3"/>
      <c r="DB61" s="3"/>
      <c r="DC61" s="3"/>
    </row>
    <row r="62" spans="4:107" ht="16.2" x14ac:dyDescent="0.3">
      <c r="D62" s="69"/>
      <c r="E62" s="81"/>
      <c r="F62" s="70" t="s">
        <v>179</v>
      </c>
      <c r="G62" s="48"/>
      <c r="H62" s="48">
        <v>100</v>
      </c>
      <c r="I62" s="71"/>
      <c r="M62" s="69"/>
      <c r="N62" s="83" t="s">
        <v>99</v>
      </c>
      <c r="O62" s="70" t="s">
        <v>132</v>
      </c>
      <c r="P62" s="48">
        <v>116</v>
      </c>
      <c r="Q62" s="48"/>
      <c r="R62" s="71"/>
      <c r="V62"/>
      <c r="W62"/>
      <c r="X62"/>
      <c r="Y62"/>
      <c r="Z62"/>
      <c r="AA62"/>
      <c r="AE62" s="3"/>
      <c r="AF62" s="3"/>
      <c r="AH62" s="3"/>
      <c r="AI62" s="3"/>
      <c r="AJ62" s="3"/>
      <c r="AN62" s="3"/>
      <c r="AO62" s="3"/>
      <c r="AQ62" s="3"/>
      <c r="AR62" s="3"/>
      <c r="AW62" s="3"/>
      <c r="AX62" s="3"/>
      <c r="AZ62" s="3"/>
      <c r="BA62" s="3"/>
      <c r="BF62" s="3"/>
      <c r="BG62" s="3"/>
      <c r="BI62" s="3"/>
      <c r="BJ62" s="3"/>
      <c r="BO62" s="3"/>
      <c r="BP62" s="3"/>
      <c r="BR62" s="3"/>
      <c r="BS62" s="3"/>
      <c r="BX62" s="3"/>
      <c r="BY62" s="3"/>
      <c r="CA62" s="3"/>
      <c r="CB62" s="3"/>
      <c r="CC62" s="3"/>
      <c r="CG62" s="3"/>
      <c r="CH62" s="3"/>
      <c r="CJ62" s="3"/>
      <c r="CK62" s="3"/>
      <c r="CP62" s="3"/>
      <c r="CQ62" s="3"/>
      <c r="CS62" s="3"/>
      <c r="CT62" s="3"/>
      <c r="CY62" s="3"/>
      <c r="CZ62" s="3"/>
      <c r="DB62" s="3"/>
      <c r="DC62" s="3"/>
    </row>
    <row r="63" spans="4:107" ht="16.2" x14ac:dyDescent="0.3">
      <c r="D63" s="69"/>
      <c r="E63" s="83" t="s">
        <v>99</v>
      </c>
      <c r="F63" s="70" t="s">
        <v>132</v>
      </c>
      <c r="G63" s="48">
        <v>132</v>
      </c>
      <c r="H63" s="48"/>
      <c r="I63" s="71"/>
      <c r="M63" s="69"/>
      <c r="N63" s="81"/>
      <c r="O63" s="70" t="s">
        <v>89</v>
      </c>
      <c r="P63" s="48">
        <v>40</v>
      </c>
      <c r="Q63" s="48"/>
      <c r="R63" s="71"/>
      <c r="V63"/>
      <c r="W63"/>
      <c r="X63"/>
      <c r="Y63"/>
      <c r="Z63"/>
      <c r="AA63"/>
      <c r="AE63" s="3"/>
      <c r="AF63" s="3"/>
      <c r="AH63" s="3"/>
      <c r="AI63" s="3"/>
      <c r="AJ63" s="3"/>
      <c r="AN63" s="3"/>
      <c r="AO63" s="3"/>
      <c r="AQ63" s="3"/>
      <c r="AR63" s="3"/>
      <c r="AW63" s="3"/>
      <c r="AX63" s="3"/>
      <c r="AZ63" s="3"/>
      <c r="BA63" s="3"/>
      <c r="BF63" s="3"/>
      <c r="BG63" s="3"/>
      <c r="BI63" s="3"/>
      <c r="BJ63" s="3"/>
      <c r="BO63" s="3"/>
      <c r="BP63" s="3"/>
      <c r="BR63" s="3"/>
      <c r="BS63" s="3"/>
      <c r="BX63" s="3"/>
      <c r="BY63" s="3"/>
      <c r="CA63" s="3"/>
      <c r="CB63" s="3"/>
      <c r="CC63" s="3"/>
      <c r="CG63" s="3"/>
      <c r="CH63" s="3"/>
      <c r="CJ63" s="3"/>
      <c r="CK63" s="3"/>
      <c r="CP63" s="3"/>
      <c r="CQ63" s="3"/>
      <c r="CS63" s="3"/>
      <c r="CT63" s="3"/>
      <c r="CY63" s="3"/>
      <c r="CZ63" s="3"/>
      <c r="DB63" s="3"/>
      <c r="DC63" s="3"/>
    </row>
    <row r="64" spans="4:107" ht="16.2" x14ac:dyDescent="0.3">
      <c r="D64" s="69"/>
      <c r="E64" s="81"/>
      <c r="F64" s="70" t="s">
        <v>89</v>
      </c>
      <c r="G64" s="48">
        <v>100</v>
      </c>
      <c r="H64" s="48"/>
      <c r="I64" s="71"/>
      <c r="M64" s="69"/>
      <c r="N64" s="81"/>
      <c r="O64" s="70" t="s">
        <v>123</v>
      </c>
      <c r="P64" s="48"/>
      <c r="Q64" s="48">
        <v>156</v>
      </c>
      <c r="R64" s="71"/>
      <c r="V64"/>
      <c r="W64"/>
      <c r="X64"/>
      <c r="Y64"/>
      <c r="Z64"/>
      <c r="AA64"/>
      <c r="AE64" s="3"/>
      <c r="AF64" s="3"/>
      <c r="AH64" s="3"/>
      <c r="AI64" s="3"/>
      <c r="AJ64" s="3"/>
      <c r="AN64" s="3"/>
      <c r="AO64" s="3"/>
      <c r="AQ64" s="3"/>
      <c r="AR64" s="3"/>
      <c r="AW64" s="3"/>
      <c r="AX64" s="3"/>
      <c r="AZ64" s="3"/>
      <c r="BA64" s="3"/>
      <c r="BF64" s="3"/>
      <c r="BG64" s="3"/>
      <c r="BI64" s="3"/>
      <c r="BJ64" s="3"/>
      <c r="BO64" s="3"/>
      <c r="BP64" s="3"/>
      <c r="BR64" s="3"/>
      <c r="BS64" s="3"/>
      <c r="BX64" s="3"/>
      <c r="BY64" s="3"/>
      <c r="CA64" s="3"/>
      <c r="CB64" s="3"/>
      <c r="CC64" s="3"/>
      <c r="CG64" s="3"/>
      <c r="CH64" s="3"/>
      <c r="CJ64" s="3"/>
      <c r="CK64" s="3"/>
      <c r="CP64" s="3"/>
      <c r="CQ64" s="3"/>
      <c r="CS64" s="3"/>
      <c r="CT64" s="3"/>
      <c r="CY64" s="3"/>
      <c r="CZ64" s="3"/>
      <c r="DB64" s="3"/>
      <c r="DC64" s="3"/>
    </row>
    <row r="65" spans="4:107" ht="16.2" x14ac:dyDescent="0.3">
      <c r="D65" s="69"/>
      <c r="E65" s="81"/>
      <c r="F65" s="70" t="s">
        <v>123</v>
      </c>
      <c r="G65" s="48"/>
      <c r="H65" s="48">
        <v>232</v>
      </c>
      <c r="I65" s="71"/>
      <c r="M65" s="69"/>
      <c r="N65" s="83" t="s">
        <v>99</v>
      </c>
      <c r="O65" s="70" t="s">
        <v>259</v>
      </c>
      <c r="P65" s="48">
        <v>520</v>
      </c>
      <c r="Q65" s="48"/>
      <c r="R65" s="71"/>
      <c r="V65"/>
      <c r="W65"/>
      <c r="X65"/>
      <c r="Y65"/>
      <c r="Z65"/>
      <c r="AA65"/>
      <c r="AE65" s="3"/>
      <c r="AF65" s="3"/>
      <c r="AH65" s="3"/>
      <c r="AI65" s="3"/>
      <c r="AJ65" s="3"/>
      <c r="AN65" s="3"/>
      <c r="AO65" s="3"/>
      <c r="AQ65" s="3"/>
      <c r="AR65" s="3"/>
      <c r="AW65" s="3"/>
      <c r="AX65" s="3"/>
      <c r="AZ65" s="3"/>
      <c r="BA65" s="3"/>
      <c r="BF65" s="3"/>
      <c r="BG65" s="3"/>
      <c r="BI65" s="3"/>
      <c r="BJ65" s="3"/>
      <c r="BO65" s="3"/>
      <c r="BP65" s="3"/>
      <c r="BR65" s="3"/>
      <c r="BS65" s="3"/>
      <c r="BX65" s="3"/>
      <c r="BY65" s="3"/>
      <c r="CA65" s="3"/>
      <c r="CB65" s="3"/>
      <c r="CC65" s="3"/>
      <c r="CG65" s="3"/>
      <c r="CH65" s="3"/>
      <c r="CJ65" s="3"/>
      <c r="CK65" s="3"/>
      <c r="CP65" s="3"/>
      <c r="CQ65" s="3"/>
      <c r="CS65" s="3"/>
      <c r="CT65" s="3"/>
      <c r="CY65" s="3"/>
      <c r="CZ65" s="3"/>
      <c r="DB65" s="3"/>
      <c r="DC65" s="3"/>
    </row>
    <row r="66" spans="4:107" ht="16.2" x14ac:dyDescent="0.3">
      <c r="D66" s="69">
        <v>9</v>
      </c>
      <c r="E66" s="81">
        <v>21</v>
      </c>
      <c r="F66" s="70" t="s">
        <v>46</v>
      </c>
      <c r="G66" s="48">
        <v>116</v>
      </c>
      <c r="H66" s="48"/>
      <c r="I66" s="71"/>
      <c r="M66" s="69"/>
      <c r="N66" s="81"/>
      <c r="O66" s="70" t="s">
        <v>260</v>
      </c>
      <c r="P66" s="48"/>
      <c r="Q66" s="48">
        <v>520</v>
      </c>
      <c r="R66" s="71"/>
      <c r="V66"/>
      <c r="W66"/>
      <c r="X66"/>
      <c r="Y66"/>
      <c r="Z66"/>
      <c r="AA66"/>
      <c r="AE66" s="3"/>
      <c r="AF66" s="3"/>
      <c r="AH66" s="3"/>
      <c r="AI66" s="3"/>
      <c r="AJ66" s="3"/>
      <c r="AN66" s="3"/>
      <c r="AO66" s="3"/>
      <c r="AQ66" s="3"/>
      <c r="AR66" s="3"/>
      <c r="AW66" s="3"/>
      <c r="AX66" s="3"/>
      <c r="AZ66" s="3"/>
      <c r="BA66" s="3"/>
      <c r="BF66" s="3"/>
      <c r="BG66" s="3"/>
      <c r="BI66" s="3"/>
      <c r="BJ66" s="3"/>
      <c r="BO66" s="3"/>
      <c r="BP66" s="3"/>
      <c r="BR66" s="3"/>
      <c r="BS66" s="3"/>
      <c r="BX66" s="3"/>
      <c r="BY66" s="3"/>
      <c r="CA66" s="3"/>
      <c r="CB66" s="3"/>
      <c r="CC66" s="3"/>
      <c r="CG66" s="3"/>
      <c r="CH66" s="3"/>
      <c r="CJ66" s="3"/>
      <c r="CK66" s="3"/>
      <c r="CP66" s="3"/>
      <c r="CQ66" s="3"/>
      <c r="CS66" s="3"/>
      <c r="CT66" s="3"/>
      <c r="CY66" s="3"/>
      <c r="CZ66" s="3"/>
      <c r="DB66" s="3"/>
      <c r="DC66" s="3"/>
    </row>
    <row r="67" spans="4:107" ht="16.2" x14ac:dyDescent="0.3">
      <c r="D67" s="69"/>
      <c r="E67" s="81"/>
      <c r="F67" s="70" t="s">
        <v>180</v>
      </c>
      <c r="G67" s="48">
        <v>16</v>
      </c>
      <c r="H67" s="48"/>
      <c r="I67" s="71"/>
      <c r="M67" s="69">
        <v>10</v>
      </c>
      <c r="N67" s="81">
        <v>7</v>
      </c>
      <c r="O67" s="70" t="s">
        <v>261</v>
      </c>
      <c r="P67" s="48">
        <v>1800</v>
      </c>
      <c r="Q67" s="48"/>
      <c r="R67" s="71"/>
      <c r="V67"/>
      <c r="W67"/>
      <c r="X67"/>
      <c r="Y67"/>
      <c r="Z67"/>
      <c r="AA67"/>
      <c r="AE67" s="3"/>
      <c r="AF67" s="3"/>
      <c r="AH67" s="3"/>
      <c r="AI67" s="3"/>
      <c r="AJ67" s="3"/>
      <c r="AN67" s="3"/>
      <c r="AO67" s="3"/>
      <c r="AQ67" s="3"/>
      <c r="AR67" s="3"/>
      <c r="AW67" s="3"/>
      <c r="AX67" s="3"/>
      <c r="AZ67" s="3"/>
      <c r="BA67" s="3"/>
      <c r="BF67" s="3"/>
      <c r="BG67" s="3"/>
      <c r="BI67" s="3"/>
      <c r="BJ67" s="3"/>
      <c r="BO67" s="3"/>
      <c r="BP67" s="3"/>
      <c r="BR67" s="3"/>
      <c r="BS67" s="3"/>
      <c r="BX67" s="3"/>
      <c r="BY67" s="3"/>
      <c r="CA67" s="3"/>
      <c r="CB67" s="3"/>
      <c r="CC67" s="3"/>
      <c r="CG67" s="3"/>
      <c r="CH67" s="3"/>
      <c r="CJ67" s="3"/>
      <c r="CK67" s="3"/>
      <c r="CP67" s="3"/>
      <c r="CQ67" s="3"/>
      <c r="CS67" s="3"/>
      <c r="CT67" s="3"/>
      <c r="CY67" s="3"/>
      <c r="CZ67" s="3"/>
      <c r="DB67" s="3"/>
      <c r="DC67" s="3"/>
    </row>
    <row r="68" spans="4:107" ht="16.2" x14ac:dyDescent="0.3">
      <c r="D68" s="69"/>
      <c r="E68" s="81"/>
      <c r="F68" s="70" t="s">
        <v>181</v>
      </c>
      <c r="G68" s="48"/>
      <c r="H68" s="48">
        <v>116</v>
      </c>
      <c r="I68" s="71"/>
      <c r="M68" s="69"/>
      <c r="N68" s="81"/>
      <c r="O68" s="70" t="s">
        <v>262</v>
      </c>
      <c r="P68" s="48"/>
      <c r="Q68" s="48">
        <v>1160</v>
      </c>
      <c r="R68" s="71"/>
      <c r="V68"/>
      <c r="W68"/>
      <c r="X68"/>
      <c r="Y68"/>
      <c r="Z68"/>
      <c r="AA68"/>
      <c r="AE68" s="3"/>
      <c r="AF68" s="3"/>
      <c r="AH68" s="3"/>
      <c r="AI68" s="3"/>
      <c r="AJ68" s="3"/>
      <c r="AN68" s="3"/>
      <c r="AO68" s="3"/>
      <c r="AQ68" s="3"/>
      <c r="AR68" s="3"/>
      <c r="AW68" s="3"/>
      <c r="AX68" s="3"/>
      <c r="AZ68" s="3"/>
      <c r="BA68" s="3"/>
      <c r="BF68" s="3"/>
      <c r="BG68" s="3"/>
      <c r="BI68" s="3"/>
      <c r="BJ68" s="3"/>
      <c r="BO68" s="3"/>
      <c r="BP68" s="3"/>
      <c r="BR68" s="3"/>
      <c r="BS68" s="3"/>
      <c r="BX68" s="3"/>
      <c r="BY68" s="3"/>
      <c r="CA68" s="3"/>
      <c r="CB68" s="3"/>
      <c r="CC68" s="3"/>
      <c r="CG68" s="3"/>
      <c r="CH68" s="3"/>
      <c r="CJ68" s="3"/>
      <c r="CK68" s="3"/>
      <c r="CP68" s="3"/>
      <c r="CQ68" s="3"/>
      <c r="CS68" s="3"/>
      <c r="CT68" s="3"/>
      <c r="CY68" s="3"/>
      <c r="CZ68" s="3"/>
      <c r="DB68" s="3"/>
      <c r="DC68" s="3"/>
    </row>
    <row r="69" spans="4:107" ht="16.2" x14ac:dyDescent="0.3">
      <c r="D69" s="69"/>
      <c r="E69" s="83"/>
      <c r="F69" s="70" t="s">
        <v>182</v>
      </c>
      <c r="G69" s="48"/>
      <c r="H69" s="48">
        <v>16</v>
      </c>
      <c r="I69" s="71"/>
      <c r="M69" s="69"/>
      <c r="N69" s="81"/>
      <c r="O69" s="70" t="s">
        <v>263</v>
      </c>
      <c r="P69" s="48"/>
      <c r="Q69" s="48">
        <v>600</v>
      </c>
      <c r="R69" s="71"/>
      <c r="V69"/>
      <c r="W69"/>
      <c r="X69"/>
      <c r="Y69"/>
      <c r="Z69"/>
      <c r="AA69"/>
      <c r="AE69" s="3"/>
      <c r="AF69" s="3"/>
      <c r="AH69" s="3"/>
      <c r="AI69" s="3"/>
      <c r="AJ69" s="3"/>
      <c r="AN69" s="3"/>
      <c r="AO69" s="3"/>
      <c r="AQ69" s="3"/>
      <c r="AR69" s="3"/>
      <c r="AW69" s="3"/>
      <c r="AX69" s="3"/>
      <c r="AZ69" s="3"/>
      <c r="BA69" s="3"/>
      <c r="BF69" s="3"/>
      <c r="BG69" s="3"/>
      <c r="BI69" s="3"/>
      <c r="BJ69" s="3"/>
      <c r="BO69" s="3"/>
      <c r="BP69" s="3"/>
      <c r="BR69" s="3"/>
      <c r="BS69" s="3"/>
      <c r="BX69" s="3"/>
      <c r="BY69" s="3"/>
      <c r="CA69" s="3"/>
      <c r="CB69" s="3"/>
      <c r="CC69" s="3"/>
      <c r="CG69" s="3"/>
      <c r="CH69" s="3"/>
      <c r="CJ69" s="3"/>
      <c r="CK69" s="3"/>
      <c r="CP69" s="3"/>
      <c r="CQ69" s="3"/>
      <c r="CS69" s="3"/>
      <c r="CT69" s="3"/>
      <c r="CY69" s="3"/>
      <c r="CZ69" s="3"/>
      <c r="DB69" s="3"/>
      <c r="DC69" s="3"/>
    </row>
    <row r="70" spans="4:107" ht="16.2" x14ac:dyDescent="0.3">
      <c r="D70" s="69"/>
      <c r="E70" s="83" t="s">
        <v>99</v>
      </c>
      <c r="F70" s="70" t="s">
        <v>178</v>
      </c>
      <c r="G70" s="48">
        <v>50</v>
      </c>
      <c r="H70" s="48"/>
      <c r="I70" s="71"/>
      <c r="M70" s="69"/>
      <c r="N70" s="81"/>
      <c r="O70" s="70" t="s">
        <v>264</v>
      </c>
      <c r="P70" s="48"/>
      <c r="Q70" s="48">
        <v>40</v>
      </c>
      <c r="R70" s="71"/>
      <c r="V70"/>
      <c r="W70"/>
      <c r="X70"/>
      <c r="Y70"/>
      <c r="Z70"/>
      <c r="AA70"/>
      <c r="AE70" s="3"/>
      <c r="AF70" s="3"/>
      <c r="AH70" s="3"/>
      <c r="AI70" s="3"/>
      <c r="AJ70" s="3"/>
      <c r="AN70" s="3"/>
      <c r="AO70" s="3"/>
      <c r="AQ70" s="3"/>
      <c r="AR70" s="3"/>
      <c r="AW70" s="3"/>
      <c r="AX70" s="3"/>
      <c r="AZ70" s="3"/>
      <c r="BA70" s="3"/>
      <c r="BF70" s="3"/>
      <c r="BG70" s="3"/>
      <c r="BI70" s="3"/>
      <c r="BJ70" s="3"/>
      <c r="BO70" s="3"/>
      <c r="BP70" s="3"/>
      <c r="BR70" s="3"/>
      <c r="BS70" s="3"/>
      <c r="BX70" s="3"/>
      <c r="BY70" s="3"/>
      <c r="CA70" s="3"/>
      <c r="CB70" s="3"/>
      <c r="CC70" s="3"/>
      <c r="CG70" s="3"/>
      <c r="CH70" s="3"/>
      <c r="CJ70" s="3"/>
      <c r="CK70" s="3"/>
      <c r="CP70" s="3"/>
      <c r="CQ70" s="3"/>
      <c r="CS70" s="3"/>
      <c r="CT70" s="3"/>
      <c r="CY70" s="3"/>
      <c r="CZ70" s="3"/>
      <c r="DB70" s="3"/>
      <c r="DC70" s="3"/>
    </row>
    <row r="71" spans="4:107" ht="16.2" x14ac:dyDescent="0.3">
      <c r="D71" s="69"/>
      <c r="E71" s="81"/>
      <c r="F71" s="70" t="s">
        <v>179</v>
      </c>
      <c r="G71" s="48"/>
      <c r="H71" s="48">
        <v>50</v>
      </c>
      <c r="I71" s="71"/>
      <c r="M71" s="69"/>
      <c r="N71" s="83" t="s">
        <v>99</v>
      </c>
      <c r="O71" s="70" t="s">
        <v>265</v>
      </c>
      <c r="P71" s="48">
        <v>1760</v>
      </c>
      <c r="Q71" s="48"/>
      <c r="R71" s="71"/>
      <c r="V71"/>
      <c r="W71"/>
      <c r="X71"/>
      <c r="Y71"/>
      <c r="Z71"/>
      <c r="AA71"/>
      <c r="AE71" s="3"/>
      <c r="AF71" s="3"/>
      <c r="AH71" s="3"/>
      <c r="AI71" s="3"/>
      <c r="AJ71" s="3"/>
      <c r="AN71" s="3"/>
      <c r="AO71" s="3"/>
      <c r="AQ71" s="3"/>
      <c r="AR71" s="3"/>
      <c r="AW71" s="3"/>
      <c r="AX71" s="3"/>
      <c r="AZ71" s="3"/>
      <c r="BA71" s="3"/>
      <c r="BF71" s="3"/>
      <c r="BG71" s="3"/>
      <c r="BI71" s="3"/>
      <c r="BJ71" s="3"/>
      <c r="BO71" s="3"/>
      <c r="BP71" s="3"/>
      <c r="BR71" s="3"/>
      <c r="BS71" s="3"/>
      <c r="BX71" s="3"/>
      <c r="BY71" s="3"/>
      <c r="CA71" s="3"/>
      <c r="CB71" s="3"/>
      <c r="CC71" s="3"/>
      <c r="CG71" s="3"/>
      <c r="CH71" s="3"/>
      <c r="CJ71" s="3"/>
      <c r="CK71" s="3"/>
      <c r="CP71" s="3"/>
      <c r="CQ71" s="3"/>
      <c r="CS71" s="3"/>
      <c r="CT71" s="3"/>
      <c r="CY71" s="3"/>
      <c r="CZ71" s="3"/>
      <c r="DB71" s="3"/>
      <c r="DC71" s="3"/>
    </row>
    <row r="72" spans="4:107" ht="16.2" x14ac:dyDescent="0.3">
      <c r="D72" s="69"/>
      <c r="E72" s="83" t="s">
        <v>99</v>
      </c>
      <c r="F72" s="70" t="s">
        <v>132</v>
      </c>
      <c r="G72" s="48">
        <v>132</v>
      </c>
      <c r="H72" s="48"/>
      <c r="I72" s="71"/>
      <c r="M72" s="69"/>
      <c r="N72" s="81"/>
      <c r="O72" s="70" t="s">
        <v>266</v>
      </c>
      <c r="P72" s="48"/>
      <c r="Q72" s="48">
        <v>1160</v>
      </c>
      <c r="R72" s="71"/>
      <c r="V72"/>
      <c r="W72"/>
      <c r="X72"/>
      <c r="Y72"/>
      <c r="Z72"/>
      <c r="AA72"/>
      <c r="AE72" s="3"/>
      <c r="AF72" s="3"/>
      <c r="AH72" s="3"/>
      <c r="AI72" s="3"/>
      <c r="AJ72" s="3"/>
      <c r="AN72" s="3"/>
      <c r="AO72" s="3"/>
      <c r="AQ72" s="3"/>
      <c r="AR72" s="3"/>
      <c r="AW72" s="3"/>
      <c r="AX72" s="3"/>
      <c r="AZ72" s="3"/>
      <c r="BA72" s="3"/>
      <c r="BF72" s="3"/>
      <c r="BG72" s="3"/>
      <c r="BI72" s="3"/>
      <c r="BJ72" s="3"/>
      <c r="BO72" s="3"/>
      <c r="BP72" s="3"/>
      <c r="BR72" s="3"/>
      <c r="BS72" s="3"/>
      <c r="BX72" s="3"/>
      <c r="BY72" s="3"/>
      <c r="CA72" s="3"/>
      <c r="CB72" s="3"/>
      <c r="CC72" s="3"/>
      <c r="CG72" s="3"/>
      <c r="CH72" s="3"/>
      <c r="CJ72" s="3"/>
      <c r="CK72" s="3"/>
      <c r="CP72" s="3"/>
      <c r="CQ72" s="3"/>
      <c r="CS72" s="3"/>
      <c r="CT72" s="3"/>
      <c r="CY72" s="3"/>
      <c r="CZ72" s="3"/>
      <c r="DB72" s="3"/>
      <c r="DC72" s="3"/>
    </row>
    <row r="73" spans="4:107" ht="16.2" x14ac:dyDescent="0.3">
      <c r="D73" s="69"/>
      <c r="E73" s="81"/>
      <c r="F73" s="70" t="s">
        <v>89</v>
      </c>
      <c r="G73" s="48">
        <v>50</v>
      </c>
      <c r="H73" s="48"/>
      <c r="I73" s="71"/>
      <c r="M73" s="69"/>
      <c r="N73" s="81"/>
      <c r="O73" s="70" t="s">
        <v>267</v>
      </c>
      <c r="P73" s="48"/>
      <c r="Q73" s="48">
        <v>600</v>
      </c>
      <c r="R73" s="71"/>
      <c r="V73"/>
      <c r="W73"/>
      <c r="X73"/>
      <c r="Y73"/>
      <c r="Z73"/>
      <c r="AA73"/>
      <c r="AE73" s="3"/>
      <c r="AF73" s="3"/>
      <c r="AH73" s="3"/>
      <c r="AI73" s="3"/>
      <c r="AJ73" s="3"/>
      <c r="AN73" s="3"/>
      <c r="AO73" s="3"/>
      <c r="AQ73" s="3"/>
      <c r="AR73" s="3"/>
      <c r="AW73" s="3"/>
      <c r="AX73" s="3"/>
      <c r="AZ73" s="3"/>
      <c r="BA73" s="3"/>
      <c r="BF73" s="3"/>
      <c r="BG73" s="3"/>
      <c r="BI73" s="3"/>
      <c r="BJ73" s="3"/>
      <c r="BO73" s="3"/>
      <c r="BP73" s="3"/>
      <c r="BR73" s="3"/>
      <c r="BS73" s="3"/>
      <c r="BX73" s="3"/>
      <c r="BY73" s="3"/>
      <c r="CA73" s="3"/>
      <c r="CB73" s="3"/>
      <c r="CC73" s="3"/>
      <c r="CG73" s="3"/>
      <c r="CH73" s="3"/>
      <c r="CJ73" s="3"/>
      <c r="CK73" s="3"/>
      <c r="CP73" s="3"/>
      <c r="CQ73" s="3"/>
      <c r="CS73" s="3"/>
      <c r="CT73" s="3"/>
      <c r="CY73" s="3"/>
      <c r="CZ73" s="3"/>
      <c r="DB73" s="3"/>
      <c r="DC73" s="3"/>
    </row>
    <row r="74" spans="4:107" ht="16.2" x14ac:dyDescent="0.3">
      <c r="D74" s="69"/>
      <c r="E74" s="81"/>
      <c r="F74" s="70" t="s">
        <v>123</v>
      </c>
      <c r="G74" s="48"/>
      <c r="H74" s="48">
        <v>182</v>
      </c>
      <c r="I74" s="71"/>
      <c r="M74" s="69"/>
      <c r="N74" s="83" t="s">
        <v>99</v>
      </c>
      <c r="O74" s="70" t="s">
        <v>268</v>
      </c>
      <c r="P74" s="48">
        <v>40</v>
      </c>
      <c r="Q74" s="48"/>
      <c r="R74" s="71"/>
      <c r="V74"/>
      <c r="W74"/>
      <c r="X74"/>
      <c r="Y74"/>
      <c r="Z74"/>
      <c r="AA74"/>
      <c r="AE74" s="3"/>
      <c r="AF74" s="3"/>
      <c r="AH74" s="3"/>
      <c r="AI74" s="3"/>
      <c r="AJ74" s="3"/>
      <c r="AN74" s="3"/>
      <c r="AO74" s="3"/>
      <c r="AQ74" s="3"/>
      <c r="AR74" s="3"/>
      <c r="AW74" s="3"/>
      <c r="AX74" s="3"/>
      <c r="AZ74" s="3"/>
      <c r="BA74" s="3"/>
      <c r="BF74" s="3"/>
      <c r="BG74" s="3"/>
      <c r="BI74" s="3"/>
      <c r="BJ74" s="3"/>
      <c r="BO74" s="3"/>
      <c r="BP74" s="3"/>
      <c r="BR74" s="3"/>
      <c r="BS74" s="3"/>
      <c r="BX74" s="3"/>
      <c r="BY74" s="3"/>
      <c r="CA74" s="3"/>
      <c r="CB74" s="3"/>
      <c r="CC74" s="3"/>
      <c r="CG74" s="3"/>
      <c r="CH74" s="3"/>
      <c r="CJ74" s="3"/>
      <c r="CK74" s="3"/>
      <c r="CP74" s="3"/>
      <c r="CQ74" s="3"/>
      <c r="CS74" s="3"/>
      <c r="CT74" s="3"/>
      <c r="CY74" s="3"/>
      <c r="CZ74" s="3"/>
      <c r="DB74" s="3"/>
      <c r="DC74" s="3"/>
    </row>
    <row r="75" spans="4:107" ht="16.2" x14ac:dyDescent="0.3">
      <c r="D75" s="69">
        <v>9</v>
      </c>
      <c r="E75" s="81">
        <v>22</v>
      </c>
      <c r="F75" s="70" t="s">
        <v>183</v>
      </c>
      <c r="G75" s="48">
        <v>116</v>
      </c>
      <c r="H75" s="48"/>
      <c r="I75" s="71"/>
      <c r="M75" s="69"/>
      <c r="N75" s="81"/>
      <c r="O75" s="70" t="s">
        <v>267</v>
      </c>
      <c r="P75" s="48"/>
      <c r="Q75" s="48">
        <v>40</v>
      </c>
      <c r="R75" s="71"/>
      <c r="V75"/>
      <c r="W75"/>
      <c r="X75"/>
      <c r="Y75"/>
      <c r="Z75"/>
      <c r="AA75"/>
      <c r="AE75" s="3"/>
      <c r="AF75" s="3"/>
      <c r="AH75" s="3"/>
      <c r="AI75" s="3"/>
      <c r="AJ75" s="3"/>
      <c r="AN75" s="3"/>
      <c r="AO75" s="3"/>
      <c r="AQ75" s="3"/>
      <c r="AR75" s="3"/>
      <c r="AW75" s="3"/>
      <c r="AX75" s="3"/>
      <c r="AZ75" s="3"/>
      <c r="BA75" s="3"/>
      <c r="BF75" s="3"/>
      <c r="BG75" s="3"/>
      <c r="BI75" s="3"/>
      <c r="BJ75" s="3"/>
      <c r="BO75" s="3"/>
      <c r="BP75" s="3"/>
      <c r="BR75" s="3"/>
      <c r="BS75" s="3"/>
      <c r="BX75" s="3"/>
      <c r="BY75" s="3"/>
      <c r="CA75" s="3"/>
      <c r="CB75" s="3"/>
      <c r="CC75" s="3"/>
      <c r="CG75" s="3"/>
      <c r="CH75" s="3"/>
      <c r="CJ75" s="3"/>
      <c r="CK75" s="3"/>
      <c r="CP75" s="3"/>
      <c r="CQ75" s="3"/>
      <c r="CS75" s="3"/>
      <c r="CT75" s="3"/>
      <c r="CY75" s="3"/>
      <c r="CZ75" s="3"/>
      <c r="DB75" s="3"/>
      <c r="DC75" s="3"/>
    </row>
    <row r="76" spans="4:107" ht="16.2" x14ac:dyDescent="0.3">
      <c r="D76" s="69"/>
      <c r="E76" s="81"/>
      <c r="F76" s="70" t="s">
        <v>184</v>
      </c>
      <c r="G76" s="48"/>
      <c r="H76" s="48">
        <v>116</v>
      </c>
      <c r="I76" s="71"/>
      <c r="M76" s="69">
        <v>10</v>
      </c>
      <c r="N76" s="81">
        <v>11</v>
      </c>
      <c r="O76" s="70" t="s">
        <v>46</v>
      </c>
      <c r="P76" s="48">
        <v>116</v>
      </c>
      <c r="Q76" s="48"/>
      <c r="R76" s="71"/>
      <c r="V76"/>
      <c r="W76"/>
      <c r="X76"/>
      <c r="Y76"/>
      <c r="Z76"/>
      <c r="AA76"/>
      <c r="AE76" s="3"/>
      <c r="AF76" s="3"/>
      <c r="AH76" s="3"/>
      <c r="AI76" s="3"/>
      <c r="AJ76" s="3"/>
      <c r="AN76" s="3"/>
      <c r="AO76" s="3"/>
      <c r="AQ76" s="3"/>
      <c r="AR76" s="3"/>
      <c r="AW76" s="3"/>
      <c r="AX76" s="3"/>
      <c r="AZ76" s="3"/>
      <c r="BA76" s="3"/>
      <c r="BF76" s="3"/>
      <c r="BG76" s="3"/>
      <c r="BI76" s="3"/>
      <c r="BJ76" s="3"/>
      <c r="BO76" s="3"/>
      <c r="BP76" s="3"/>
      <c r="BR76" s="3"/>
      <c r="BS76" s="3"/>
      <c r="BX76" s="3"/>
      <c r="BY76" s="3"/>
      <c r="CA76" s="3"/>
      <c r="CB76" s="3"/>
      <c r="CC76" s="3"/>
      <c r="CG76" s="3"/>
      <c r="CH76" s="3"/>
      <c r="CJ76" s="3"/>
      <c r="CK76" s="3"/>
      <c r="CP76" s="3"/>
      <c r="CQ76" s="3"/>
      <c r="CS76" s="3"/>
      <c r="CT76" s="3"/>
      <c r="CY76" s="3"/>
      <c r="CZ76" s="3"/>
      <c r="DB76" s="3"/>
      <c r="DC76" s="3"/>
    </row>
    <row r="77" spans="4:107" ht="16.2" x14ac:dyDescent="0.3">
      <c r="D77" s="69"/>
      <c r="E77" s="83" t="s">
        <v>99</v>
      </c>
      <c r="F77" s="70" t="s">
        <v>185</v>
      </c>
      <c r="G77" s="48">
        <f>35+50</f>
        <v>85</v>
      </c>
      <c r="H77" s="48"/>
      <c r="I77" s="71"/>
      <c r="M77" s="69"/>
      <c r="N77" s="81"/>
      <c r="O77" s="70" t="s">
        <v>180</v>
      </c>
      <c r="P77" s="48">
        <v>16</v>
      </c>
      <c r="Q77" s="48"/>
      <c r="R77" s="71"/>
      <c r="V77"/>
      <c r="W77"/>
      <c r="X77"/>
      <c r="Y77"/>
      <c r="Z77"/>
      <c r="AA77"/>
      <c r="AE77" s="3"/>
      <c r="AF77" s="3"/>
      <c r="AH77" s="3"/>
      <c r="AI77" s="3"/>
      <c r="AJ77" s="3"/>
      <c r="AN77" s="3"/>
      <c r="AO77" s="3"/>
      <c r="AQ77" s="3"/>
      <c r="AR77" s="3"/>
      <c r="AW77" s="3"/>
      <c r="AX77" s="3"/>
      <c r="AZ77" s="3"/>
      <c r="BA77" s="3"/>
      <c r="BF77" s="3"/>
      <c r="BG77" s="3"/>
      <c r="BI77" s="3"/>
      <c r="BJ77" s="3"/>
      <c r="BO77" s="3"/>
      <c r="BP77" s="3"/>
      <c r="BR77" s="3"/>
      <c r="BS77" s="3"/>
      <c r="BX77" s="3"/>
      <c r="BY77" s="3"/>
      <c r="CA77" s="3"/>
      <c r="CB77" s="3"/>
      <c r="CC77" s="3"/>
      <c r="CG77" s="3"/>
      <c r="CH77" s="3"/>
      <c r="CJ77" s="3"/>
      <c r="CK77" s="3"/>
      <c r="CP77" s="3"/>
      <c r="CQ77" s="3"/>
      <c r="CS77" s="3"/>
      <c r="CT77" s="3"/>
      <c r="CY77" s="3"/>
      <c r="CZ77" s="3"/>
      <c r="DB77" s="3"/>
      <c r="DC77" s="3"/>
    </row>
    <row r="78" spans="4:107" ht="16.2" x14ac:dyDescent="0.3">
      <c r="D78" s="69"/>
      <c r="E78" s="81"/>
      <c r="F78" s="70" t="s">
        <v>186</v>
      </c>
      <c r="G78" s="48">
        <v>10</v>
      </c>
      <c r="H78" s="48"/>
      <c r="I78" s="71"/>
      <c r="M78" s="69"/>
      <c r="N78" s="81"/>
      <c r="O78" s="70" t="s">
        <v>163</v>
      </c>
      <c r="P78" s="48"/>
      <c r="Q78" s="48">
        <v>116</v>
      </c>
      <c r="R78" s="71"/>
      <c r="V78"/>
      <c r="W78"/>
      <c r="X78"/>
      <c r="Y78"/>
      <c r="Z78"/>
      <c r="AA78"/>
      <c r="AE78" s="3"/>
      <c r="AF78" s="3"/>
      <c r="AH78" s="3"/>
      <c r="AI78" s="3"/>
      <c r="AJ78" s="3"/>
      <c r="AN78" s="3"/>
      <c r="AO78" s="3"/>
      <c r="AQ78" s="3"/>
      <c r="AR78" s="3"/>
      <c r="AW78" s="3"/>
      <c r="AX78" s="3"/>
      <c r="AZ78" s="3"/>
      <c r="BA78" s="3"/>
      <c r="BF78" s="3"/>
      <c r="BG78" s="3"/>
      <c r="BI78" s="3"/>
      <c r="BJ78" s="3"/>
      <c r="BO78" s="3"/>
      <c r="BP78" s="3"/>
      <c r="BR78" s="3"/>
      <c r="BS78" s="3"/>
      <c r="BX78" s="3"/>
      <c r="BY78" s="3"/>
      <c r="CA78" s="3"/>
      <c r="CB78" s="3"/>
      <c r="CC78" s="3"/>
      <c r="CG78" s="3"/>
      <c r="CH78" s="3"/>
      <c r="CJ78" s="3"/>
      <c r="CK78" s="3"/>
      <c r="CP78" s="3"/>
      <c r="CQ78" s="3"/>
      <c r="CS78" s="3"/>
      <c r="CT78" s="3"/>
      <c r="CY78" s="3"/>
      <c r="CZ78" s="3"/>
      <c r="DB78" s="3"/>
      <c r="DC78" s="3"/>
    </row>
    <row r="79" spans="4:107" ht="16.2" x14ac:dyDescent="0.3">
      <c r="D79" s="69"/>
      <c r="E79" s="81"/>
      <c r="F79" s="70" t="s">
        <v>191</v>
      </c>
      <c r="G79" s="48">
        <v>80</v>
      </c>
      <c r="H79" s="48"/>
      <c r="I79" s="71"/>
      <c r="M79" s="69"/>
      <c r="N79" s="81"/>
      <c r="O79" s="70" t="s">
        <v>182</v>
      </c>
      <c r="P79" s="48"/>
      <c r="Q79" s="48">
        <v>16</v>
      </c>
      <c r="R79" s="71"/>
      <c r="V79"/>
      <c r="W79"/>
      <c r="X79"/>
      <c r="Y79"/>
      <c r="Z79"/>
      <c r="AA79"/>
      <c r="AE79" s="3"/>
      <c r="AF79" s="3"/>
      <c r="AH79" s="3"/>
      <c r="AI79" s="3"/>
      <c r="AJ79" s="3"/>
      <c r="AN79" s="3"/>
      <c r="AO79" s="3"/>
      <c r="AQ79" s="3"/>
      <c r="AR79" s="3"/>
      <c r="AW79" s="3"/>
      <c r="AX79" s="3"/>
      <c r="AZ79" s="3"/>
      <c r="BA79" s="3"/>
      <c r="BF79" s="3"/>
      <c r="BG79" s="3"/>
      <c r="BI79" s="3"/>
      <c r="BJ79" s="3"/>
      <c r="BO79" s="3"/>
      <c r="BP79" s="3"/>
      <c r="BR79" s="3"/>
      <c r="BS79" s="3"/>
      <c r="BX79" s="3"/>
      <c r="BY79" s="3"/>
      <c r="CA79" s="3"/>
      <c r="CB79" s="3"/>
      <c r="CC79" s="3"/>
      <c r="CG79" s="3"/>
      <c r="CH79" s="3"/>
      <c r="CJ79" s="3"/>
      <c r="CK79" s="3"/>
      <c r="CP79" s="3"/>
      <c r="CQ79" s="3"/>
      <c r="CS79" s="3"/>
      <c r="CT79" s="3"/>
      <c r="CY79" s="3"/>
      <c r="CZ79" s="3"/>
      <c r="DB79" s="3"/>
      <c r="DC79" s="3"/>
    </row>
    <row r="80" spans="4:107" ht="16.2" x14ac:dyDescent="0.3">
      <c r="D80" s="69"/>
      <c r="E80" s="81"/>
      <c r="F80" s="70" t="s">
        <v>128</v>
      </c>
      <c r="G80" s="48"/>
      <c r="H80" s="48">
        <v>175</v>
      </c>
      <c r="I80" s="71"/>
      <c r="M80" s="69"/>
      <c r="N80" s="83" t="s">
        <v>99</v>
      </c>
      <c r="O80" s="70" t="s">
        <v>124</v>
      </c>
      <c r="P80" s="48">
        <v>50</v>
      </c>
      <c r="Q80" s="48"/>
      <c r="R80" s="71"/>
      <c r="V80"/>
      <c r="W80"/>
      <c r="X80"/>
      <c r="Y80"/>
      <c r="Z80"/>
      <c r="AA80"/>
      <c r="AE80" s="3"/>
      <c r="AF80" s="3"/>
      <c r="AH80" s="3"/>
      <c r="AI80" s="3"/>
      <c r="AJ80" s="3"/>
      <c r="AN80" s="3"/>
      <c r="AO80" s="3"/>
      <c r="AQ80" s="3"/>
      <c r="AR80" s="3"/>
      <c r="AW80" s="3"/>
      <c r="AX80" s="3"/>
      <c r="AZ80" s="3"/>
      <c r="BA80" s="3"/>
      <c r="BF80" s="3"/>
      <c r="BG80" s="3"/>
      <c r="BI80" s="3"/>
      <c r="BJ80" s="3"/>
      <c r="BO80" s="3"/>
      <c r="BP80" s="3"/>
      <c r="BR80" s="3"/>
      <c r="BS80" s="3"/>
      <c r="BX80" s="3"/>
      <c r="BY80" s="3"/>
      <c r="CA80" s="3"/>
      <c r="CB80" s="3"/>
      <c r="CC80" s="3"/>
      <c r="CG80" s="3"/>
      <c r="CH80" s="3"/>
      <c r="CJ80" s="3"/>
      <c r="CK80" s="3"/>
      <c r="CP80" s="3"/>
      <c r="CQ80" s="3"/>
      <c r="CS80" s="3"/>
      <c r="CT80" s="3"/>
      <c r="CY80" s="3"/>
      <c r="CZ80" s="3"/>
      <c r="DB80" s="3"/>
      <c r="DC80" s="3"/>
    </row>
    <row r="81" spans="4:107" ht="16.2" x14ac:dyDescent="0.3">
      <c r="D81" s="69"/>
      <c r="E81" s="83" t="s">
        <v>99</v>
      </c>
      <c r="F81" s="70" t="s">
        <v>132</v>
      </c>
      <c r="G81" s="48">
        <v>116</v>
      </c>
      <c r="H81" s="48"/>
      <c r="I81" s="71"/>
      <c r="M81" s="69"/>
      <c r="N81" s="81"/>
      <c r="O81" s="70" t="s">
        <v>187</v>
      </c>
      <c r="P81" s="48">
        <v>1160</v>
      </c>
      <c r="Q81" s="48"/>
      <c r="R81" s="71"/>
      <c r="V81"/>
      <c r="W81"/>
      <c r="X81"/>
      <c r="Y81"/>
      <c r="Z81"/>
      <c r="AA81"/>
      <c r="AE81" s="3"/>
      <c r="AF81" s="3"/>
      <c r="AH81" s="3"/>
      <c r="AI81" s="3"/>
      <c r="AJ81" s="3"/>
      <c r="AN81" s="3"/>
      <c r="AO81" s="3"/>
      <c r="AQ81" s="3"/>
      <c r="AR81" s="3"/>
      <c r="AW81" s="3"/>
      <c r="AX81" s="3"/>
      <c r="AZ81" s="3"/>
      <c r="BA81" s="3"/>
      <c r="BF81" s="3"/>
      <c r="BG81" s="3"/>
      <c r="BI81" s="3"/>
      <c r="BJ81" s="3"/>
      <c r="BO81" s="3"/>
      <c r="BP81" s="3"/>
      <c r="BR81" s="3"/>
      <c r="BS81" s="3"/>
      <c r="BX81" s="3"/>
      <c r="BY81" s="3"/>
      <c r="CA81" s="3"/>
      <c r="CB81" s="3"/>
      <c r="CC81" s="3"/>
      <c r="CG81" s="3"/>
      <c r="CH81" s="3"/>
      <c r="CJ81" s="3"/>
      <c r="CK81" s="3"/>
      <c r="CP81" s="3"/>
      <c r="CQ81" s="3"/>
      <c r="CS81" s="3"/>
      <c r="CT81" s="3"/>
      <c r="CY81" s="3"/>
      <c r="CZ81" s="3"/>
      <c r="DB81" s="3"/>
      <c r="DC81" s="3"/>
    </row>
    <row r="82" spans="4:107" ht="16.2" x14ac:dyDescent="0.3">
      <c r="D82" s="69"/>
      <c r="E82" s="81"/>
      <c r="F82" s="70" t="s">
        <v>89</v>
      </c>
      <c r="G82" s="48">
        <v>95</v>
      </c>
      <c r="H82" s="48"/>
      <c r="I82" s="71"/>
      <c r="M82" s="69"/>
      <c r="N82" s="81"/>
      <c r="O82" s="70" t="s">
        <v>128</v>
      </c>
      <c r="P82" s="48"/>
      <c r="Q82" s="48">
        <v>1210</v>
      </c>
      <c r="R82" s="71"/>
      <c r="V82"/>
      <c r="W82"/>
      <c r="X82"/>
      <c r="Y82"/>
      <c r="Z82"/>
      <c r="AA82"/>
      <c r="AE82" s="3"/>
      <c r="AF82" s="3"/>
      <c r="AH82" s="3"/>
      <c r="AI82" s="3"/>
      <c r="AJ82" s="3"/>
      <c r="AN82" s="3"/>
      <c r="AO82" s="3"/>
      <c r="AQ82" s="3"/>
      <c r="AR82" s="3"/>
      <c r="AW82" s="3"/>
      <c r="AX82" s="3"/>
      <c r="AZ82" s="3"/>
      <c r="BA82" s="3"/>
      <c r="BF82" s="3"/>
      <c r="BG82" s="3"/>
      <c r="BI82" s="3"/>
      <c r="BJ82" s="3"/>
      <c r="BO82" s="3"/>
      <c r="BP82" s="3"/>
      <c r="BR82" s="3"/>
      <c r="BS82" s="3"/>
      <c r="BX82" s="3"/>
      <c r="BY82" s="3"/>
      <c r="CA82" s="3"/>
      <c r="CB82" s="3"/>
      <c r="CC82" s="3"/>
      <c r="CG82" s="3"/>
      <c r="CH82" s="3"/>
      <c r="CJ82" s="3"/>
      <c r="CK82" s="3"/>
      <c r="CP82" s="3"/>
      <c r="CQ82" s="3"/>
      <c r="CS82" s="3"/>
      <c r="CT82" s="3"/>
      <c r="CY82" s="3"/>
      <c r="CZ82" s="3"/>
      <c r="DB82" s="3"/>
      <c r="DC82" s="3"/>
    </row>
    <row r="83" spans="4:107" ht="16.2" x14ac:dyDescent="0.3">
      <c r="D83" s="69"/>
      <c r="E83" s="81"/>
      <c r="F83" s="70" t="s">
        <v>123</v>
      </c>
      <c r="G83" s="48"/>
      <c r="H83" s="48">
        <v>211</v>
      </c>
      <c r="I83" s="71"/>
      <c r="M83" s="69"/>
      <c r="N83" s="83" t="s">
        <v>99</v>
      </c>
      <c r="O83" s="70" t="s">
        <v>132</v>
      </c>
      <c r="P83" s="48">
        <v>132</v>
      </c>
      <c r="Q83" s="48"/>
      <c r="R83" s="71"/>
      <c r="V83"/>
      <c r="W83"/>
      <c r="X83"/>
      <c r="Y83"/>
      <c r="Z83"/>
      <c r="AA83"/>
      <c r="AE83" s="3"/>
      <c r="AF83" s="3"/>
      <c r="AH83" s="3"/>
      <c r="AI83" s="3"/>
      <c r="AJ83" s="3"/>
      <c r="AN83" s="3"/>
      <c r="AO83" s="3"/>
      <c r="AQ83" s="3"/>
      <c r="AR83" s="3"/>
      <c r="AW83" s="3"/>
      <c r="AX83" s="3"/>
      <c r="AZ83" s="3"/>
      <c r="BA83" s="3"/>
      <c r="BF83" s="3"/>
      <c r="BG83" s="3"/>
      <c r="BI83" s="3"/>
      <c r="BJ83" s="3"/>
      <c r="BO83" s="3"/>
      <c r="BP83" s="3"/>
      <c r="BR83" s="3"/>
      <c r="BS83" s="3"/>
      <c r="BX83" s="3"/>
      <c r="BY83" s="3"/>
      <c r="CA83" s="3"/>
      <c r="CB83" s="3"/>
      <c r="CC83" s="3"/>
      <c r="CG83" s="3"/>
      <c r="CH83" s="3"/>
      <c r="CJ83" s="3"/>
      <c r="CK83" s="3"/>
      <c r="CP83" s="3"/>
      <c r="CQ83" s="3"/>
      <c r="CS83" s="3"/>
      <c r="CT83" s="3"/>
      <c r="CY83" s="3"/>
      <c r="CZ83" s="3"/>
      <c r="DB83" s="3"/>
      <c r="DC83" s="3"/>
    </row>
    <row r="84" spans="4:107" ht="16.2" x14ac:dyDescent="0.3">
      <c r="D84" s="69">
        <v>9</v>
      </c>
      <c r="E84" s="81">
        <v>23</v>
      </c>
      <c r="F84" s="70" t="s">
        <v>46</v>
      </c>
      <c r="G84" s="48">
        <v>116</v>
      </c>
      <c r="H84" s="48"/>
      <c r="I84" s="71"/>
      <c r="M84" s="69"/>
      <c r="N84" s="81"/>
      <c r="O84" s="70" t="s">
        <v>89</v>
      </c>
      <c r="P84" s="48">
        <v>50</v>
      </c>
      <c r="Q84" s="48"/>
      <c r="R84" s="71"/>
      <c r="V84"/>
      <c r="W84"/>
      <c r="X84"/>
      <c r="Y84"/>
      <c r="Z84"/>
      <c r="AA84"/>
      <c r="AE84" s="3"/>
      <c r="AF84" s="3"/>
      <c r="AH84" s="3"/>
      <c r="AI84" s="3"/>
      <c r="AJ84" s="3"/>
      <c r="AN84" s="3"/>
      <c r="AO84" s="3"/>
      <c r="AQ84" s="3"/>
      <c r="AR84" s="3"/>
      <c r="AW84" s="3"/>
      <c r="AX84" s="3"/>
      <c r="AZ84" s="3"/>
      <c r="BA84" s="3"/>
      <c r="BF84" s="3"/>
      <c r="BG84" s="3"/>
      <c r="BI84" s="3"/>
      <c r="BJ84" s="3"/>
      <c r="BO84" s="3"/>
      <c r="BP84" s="3"/>
      <c r="BR84" s="3"/>
      <c r="BS84" s="3"/>
      <c r="BX84" s="3"/>
      <c r="BY84" s="3"/>
      <c r="CA84" s="3"/>
      <c r="CB84" s="3"/>
      <c r="CC84" s="3"/>
      <c r="CG84" s="3"/>
      <c r="CH84" s="3"/>
      <c r="CJ84" s="3"/>
      <c r="CK84" s="3"/>
      <c r="CP84" s="3"/>
      <c r="CQ84" s="3"/>
      <c r="CS84" s="3"/>
      <c r="CT84" s="3"/>
      <c r="CY84" s="3"/>
      <c r="CZ84" s="3"/>
      <c r="DB84" s="3"/>
      <c r="DC84" s="3"/>
    </row>
    <row r="85" spans="4:107" ht="16.2" x14ac:dyDescent="0.3">
      <c r="D85" s="69"/>
      <c r="E85" s="81"/>
      <c r="F85" s="70" t="s">
        <v>180</v>
      </c>
      <c r="G85" s="48">
        <v>16</v>
      </c>
      <c r="H85" s="48"/>
      <c r="I85" s="71"/>
      <c r="M85" s="69"/>
      <c r="N85" s="81"/>
      <c r="O85" s="70" t="s">
        <v>123</v>
      </c>
      <c r="P85" s="48"/>
      <c r="Q85" s="48">
        <v>182</v>
      </c>
      <c r="R85" s="71"/>
      <c r="V85"/>
      <c r="W85"/>
      <c r="X85"/>
      <c r="Y85"/>
      <c r="Z85"/>
      <c r="AA85"/>
      <c r="AE85" s="3"/>
      <c r="AF85" s="3"/>
      <c r="AH85" s="3"/>
      <c r="AI85" s="3"/>
      <c r="AJ85" s="3"/>
      <c r="AN85" s="3"/>
      <c r="AO85" s="3"/>
      <c r="AQ85" s="3"/>
      <c r="AR85" s="3"/>
      <c r="AW85" s="3"/>
      <c r="AX85" s="3"/>
      <c r="AZ85" s="3"/>
      <c r="BA85" s="3"/>
      <c r="BF85" s="3"/>
      <c r="BG85" s="3"/>
      <c r="BI85" s="3"/>
      <c r="BJ85" s="3"/>
      <c r="BO85" s="3"/>
      <c r="BP85" s="3"/>
      <c r="BR85" s="3"/>
      <c r="BS85" s="3"/>
      <c r="BX85" s="3"/>
      <c r="BY85" s="3"/>
      <c r="CA85" s="3"/>
      <c r="CB85" s="3"/>
      <c r="CC85" s="3"/>
      <c r="CG85" s="3"/>
      <c r="CH85" s="3"/>
      <c r="CJ85" s="3"/>
      <c r="CK85" s="3"/>
      <c r="CP85" s="3"/>
      <c r="CQ85" s="3"/>
      <c r="CS85" s="3"/>
      <c r="CT85" s="3"/>
      <c r="CY85" s="3"/>
      <c r="CZ85" s="3"/>
      <c r="DB85" s="3"/>
      <c r="DC85" s="3"/>
    </row>
    <row r="86" spans="4:107" ht="16.2" x14ac:dyDescent="0.3">
      <c r="D86" s="69"/>
      <c r="E86" s="81"/>
      <c r="F86" s="70" t="s">
        <v>163</v>
      </c>
      <c r="G86" s="48"/>
      <c r="H86" s="48">
        <v>116</v>
      </c>
      <c r="I86" s="71"/>
      <c r="M86" s="69">
        <v>10</v>
      </c>
      <c r="N86" s="81">
        <v>12</v>
      </c>
      <c r="O86" s="70" t="s">
        <v>46</v>
      </c>
      <c r="P86" s="48">
        <v>116</v>
      </c>
      <c r="Q86" s="48"/>
      <c r="R86" s="71"/>
      <c r="V86"/>
      <c r="W86"/>
      <c r="X86"/>
      <c r="Y86"/>
      <c r="Z86"/>
      <c r="AA86"/>
      <c r="AE86" s="3"/>
      <c r="AF86" s="3"/>
      <c r="AH86" s="3"/>
      <c r="AI86" s="3"/>
      <c r="AJ86" s="3"/>
      <c r="AN86" s="3"/>
      <c r="AO86" s="3"/>
      <c r="AQ86" s="3"/>
      <c r="AR86" s="3"/>
      <c r="AW86" s="3"/>
      <c r="AX86" s="3"/>
      <c r="AZ86" s="3"/>
      <c r="BA86" s="3"/>
      <c r="BF86" s="3"/>
      <c r="BG86" s="3"/>
      <c r="BI86" s="3"/>
      <c r="BJ86" s="3"/>
      <c r="BO86" s="3"/>
      <c r="BP86" s="3"/>
      <c r="BR86" s="3"/>
      <c r="BS86" s="3"/>
      <c r="BX86" s="3"/>
      <c r="BY86" s="3"/>
      <c r="CA86" s="3"/>
      <c r="CB86" s="3"/>
      <c r="CC86" s="3"/>
      <c r="CG86" s="3"/>
      <c r="CH86" s="3"/>
      <c r="CJ86" s="3"/>
      <c r="CK86" s="3"/>
      <c r="CP86" s="3"/>
      <c r="CQ86" s="3"/>
      <c r="CS86" s="3"/>
      <c r="CT86" s="3"/>
      <c r="CY86" s="3"/>
      <c r="CZ86" s="3"/>
      <c r="DB86" s="3"/>
      <c r="DC86" s="3"/>
    </row>
    <row r="87" spans="4:107" ht="16.2" x14ac:dyDescent="0.3">
      <c r="D87" s="69"/>
      <c r="E87" s="81"/>
      <c r="F87" s="70" t="s">
        <v>182</v>
      </c>
      <c r="G87" s="48"/>
      <c r="H87" s="48">
        <v>16</v>
      </c>
      <c r="I87" s="71"/>
      <c r="M87" s="69"/>
      <c r="N87" s="81"/>
      <c r="O87" s="70" t="s">
        <v>163</v>
      </c>
      <c r="P87" s="48"/>
      <c r="Q87" s="48">
        <v>116</v>
      </c>
      <c r="R87" s="71"/>
      <c r="V87"/>
      <c r="W87"/>
      <c r="X87"/>
      <c r="Y87"/>
      <c r="Z87"/>
      <c r="AA87"/>
      <c r="AE87" s="3"/>
      <c r="AF87" s="3"/>
      <c r="AH87" s="3"/>
      <c r="AI87" s="3"/>
      <c r="AJ87" s="3"/>
      <c r="AN87" s="3"/>
      <c r="AO87" s="3"/>
      <c r="AQ87" s="3"/>
      <c r="AR87" s="3"/>
      <c r="AW87" s="3"/>
      <c r="AX87" s="3"/>
      <c r="AZ87" s="3"/>
      <c r="BA87" s="3"/>
      <c r="BF87" s="3"/>
      <c r="BG87" s="3"/>
      <c r="BI87" s="3"/>
      <c r="BJ87" s="3"/>
      <c r="BO87" s="3"/>
      <c r="BP87" s="3"/>
      <c r="BR87" s="3"/>
      <c r="BS87" s="3"/>
      <c r="BX87" s="3"/>
      <c r="BY87" s="3"/>
      <c r="CA87" s="3"/>
      <c r="CB87" s="3"/>
      <c r="CC87" s="3"/>
      <c r="CG87" s="3"/>
      <c r="CH87" s="3"/>
      <c r="CJ87" s="3"/>
      <c r="CK87" s="3"/>
      <c r="CP87" s="3"/>
      <c r="CQ87" s="3"/>
      <c r="CS87" s="3"/>
      <c r="CT87" s="3"/>
      <c r="CY87" s="3"/>
      <c r="CZ87" s="3"/>
      <c r="DB87" s="3"/>
      <c r="DC87" s="3"/>
    </row>
    <row r="88" spans="4:107" ht="16.2" x14ac:dyDescent="0.3">
      <c r="D88" s="69"/>
      <c r="E88" s="83" t="s">
        <v>99</v>
      </c>
      <c r="F88" s="70" t="s">
        <v>124</v>
      </c>
      <c r="G88" s="48">
        <v>55</v>
      </c>
      <c r="H88" s="48"/>
      <c r="I88" s="71"/>
      <c r="M88" s="69"/>
      <c r="N88" s="83" t="s">
        <v>99</v>
      </c>
      <c r="O88" s="70" t="s">
        <v>124</v>
      </c>
      <c r="P88" s="48">
        <f>99+160</f>
        <v>259</v>
      </c>
      <c r="Q88" s="48"/>
      <c r="R88" s="71"/>
      <c r="V88"/>
      <c r="W88"/>
      <c r="X88"/>
      <c r="Y88"/>
      <c r="Z88"/>
      <c r="AA88"/>
      <c r="AE88" s="3"/>
      <c r="AF88" s="3"/>
      <c r="AH88" s="3"/>
      <c r="AI88" s="3"/>
      <c r="AJ88" s="3"/>
      <c r="AN88" s="3"/>
      <c r="AO88" s="3"/>
      <c r="AQ88" s="3"/>
      <c r="AR88" s="3"/>
      <c r="AW88" s="3"/>
      <c r="AX88" s="3"/>
      <c r="AZ88" s="3"/>
      <c r="BA88" s="3"/>
      <c r="BF88" s="3"/>
      <c r="BG88" s="3"/>
      <c r="BI88" s="3"/>
      <c r="BJ88" s="3"/>
      <c r="BO88" s="3"/>
      <c r="BP88" s="3"/>
      <c r="BR88" s="3"/>
      <c r="BS88" s="3"/>
      <c r="BX88" s="3"/>
      <c r="BY88" s="3"/>
      <c r="CA88" s="3"/>
      <c r="CB88" s="3"/>
      <c r="CC88" s="3"/>
      <c r="CG88" s="3"/>
      <c r="CH88" s="3"/>
      <c r="CJ88" s="3"/>
      <c r="CK88" s="3"/>
      <c r="CP88" s="3"/>
      <c r="CQ88" s="3"/>
      <c r="CS88" s="3"/>
      <c r="CT88" s="3"/>
      <c r="CY88" s="3"/>
      <c r="CZ88" s="3"/>
      <c r="DB88" s="3"/>
      <c r="DC88" s="3"/>
    </row>
    <row r="89" spans="4:107" ht="16.2" x14ac:dyDescent="0.3">
      <c r="D89" s="69"/>
      <c r="E89" s="81"/>
      <c r="F89" s="70" t="s">
        <v>130</v>
      </c>
      <c r="G89" s="48">
        <v>149</v>
      </c>
      <c r="H89" s="48"/>
      <c r="I89" s="71"/>
      <c r="M89" s="69"/>
      <c r="N89" s="81"/>
      <c r="O89" s="70" t="s">
        <v>128</v>
      </c>
      <c r="P89" s="48"/>
      <c r="Q89" s="48">
        <v>259</v>
      </c>
      <c r="R89" s="71"/>
      <c r="V89"/>
      <c r="W89"/>
      <c r="X89"/>
      <c r="Y89"/>
      <c r="Z89"/>
      <c r="AA89"/>
      <c r="AE89" s="3"/>
      <c r="AF89" s="3"/>
      <c r="AH89" s="3"/>
      <c r="AI89" s="3"/>
      <c r="AJ89" s="3"/>
      <c r="AN89" s="3"/>
      <c r="AO89" s="3"/>
      <c r="AQ89" s="3"/>
      <c r="AR89" s="3"/>
      <c r="AW89" s="3"/>
      <c r="AX89" s="3"/>
      <c r="AZ89" s="3"/>
      <c r="BA89" s="3"/>
      <c r="BF89" s="3"/>
      <c r="BG89" s="3"/>
      <c r="BI89" s="3"/>
      <c r="BJ89" s="3"/>
      <c r="BO89" s="3"/>
      <c r="BP89" s="3"/>
      <c r="BR89" s="3"/>
      <c r="BS89" s="3"/>
      <c r="BX89" s="3"/>
      <c r="BY89" s="3"/>
      <c r="CA89" s="3"/>
      <c r="CB89" s="3"/>
      <c r="CC89" s="3"/>
      <c r="CG89" s="3"/>
      <c r="CH89" s="3"/>
      <c r="CJ89" s="3"/>
      <c r="CK89" s="3"/>
      <c r="CP89" s="3"/>
      <c r="CQ89" s="3"/>
      <c r="CS89" s="3"/>
      <c r="CT89" s="3"/>
      <c r="CY89" s="3"/>
      <c r="CZ89" s="3"/>
      <c r="DB89" s="3"/>
      <c r="DC89" s="3"/>
    </row>
    <row r="90" spans="4:107" ht="16.2" x14ac:dyDescent="0.3">
      <c r="D90" s="69"/>
      <c r="E90" s="81"/>
      <c r="F90" s="70" t="s">
        <v>128</v>
      </c>
      <c r="G90" s="48"/>
      <c r="H90" s="48">
        <v>204</v>
      </c>
      <c r="I90" s="71"/>
      <c r="M90" s="69"/>
      <c r="N90" s="83" t="s">
        <v>99</v>
      </c>
      <c r="O90" s="70" t="s">
        <v>132</v>
      </c>
      <c r="P90" s="48">
        <v>116</v>
      </c>
      <c r="Q90" s="48"/>
      <c r="R90" s="71"/>
      <c r="V90"/>
      <c r="W90"/>
      <c r="X90"/>
      <c r="Y90"/>
      <c r="Z90"/>
      <c r="AA90"/>
      <c r="AE90" s="3"/>
      <c r="AF90" s="3"/>
      <c r="AH90" s="3"/>
      <c r="AI90" s="3"/>
      <c r="AJ90" s="3"/>
      <c r="AN90" s="3"/>
      <c r="AO90" s="3"/>
      <c r="AQ90" s="3"/>
      <c r="AR90" s="3"/>
      <c r="AW90" s="3"/>
      <c r="AX90" s="3"/>
      <c r="AZ90" s="3"/>
      <c r="BA90" s="3"/>
      <c r="BF90" s="3"/>
      <c r="BG90" s="3"/>
      <c r="BI90" s="3"/>
      <c r="BJ90" s="3"/>
      <c r="BO90" s="3"/>
      <c r="BP90" s="3"/>
      <c r="BR90" s="3"/>
      <c r="BS90" s="3"/>
      <c r="BX90" s="3"/>
      <c r="BY90" s="3"/>
      <c r="CA90" s="3"/>
      <c r="CB90" s="3"/>
      <c r="CC90" s="3"/>
      <c r="CG90" s="3"/>
      <c r="CH90" s="3"/>
      <c r="CJ90" s="3"/>
      <c r="CK90" s="3"/>
      <c r="CP90" s="3"/>
      <c r="CQ90" s="3"/>
      <c r="CS90" s="3"/>
      <c r="CT90" s="3"/>
      <c r="CY90" s="3"/>
      <c r="CZ90" s="3"/>
      <c r="DB90" s="3"/>
      <c r="DC90" s="3"/>
    </row>
    <row r="91" spans="4:107" ht="16.2" x14ac:dyDescent="0.3">
      <c r="D91" s="69"/>
      <c r="E91" s="83" t="s">
        <v>99</v>
      </c>
      <c r="F91" s="70" t="s">
        <v>187</v>
      </c>
      <c r="G91" s="48">
        <v>580</v>
      </c>
      <c r="H91" s="48"/>
      <c r="I91" s="71"/>
      <c r="M91" s="69"/>
      <c r="N91" s="81"/>
      <c r="O91" s="70" t="s">
        <v>89</v>
      </c>
      <c r="P91" s="48">
        <v>259</v>
      </c>
      <c r="Q91" s="48"/>
      <c r="R91" s="71"/>
      <c r="V91"/>
      <c r="W91"/>
      <c r="X91"/>
      <c r="Y91"/>
      <c r="Z91"/>
      <c r="AA91"/>
      <c r="AE91" s="3"/>
      <c r="AF91" s="3"/>
      <c r="AH91" s="3"/>
      <c r="AI91" s="3"/>
      <c r="AJ91" s="3"/>
      <c r="AN91" s="3"/>
      <c r="AO91" s="3"/>
      <c r="AQ91" s="3"/>
      <c r="AR91" s="3"/>
      <c r="AW91" s="3"/>
      <c r="AX91" s="3"/>
      <c r="AZ91" s="3"/>
      <c r="BA91" s="3"/>
      <c r="BF91" s="3"/>
      <c r="BG91" s="3"/>
      <c r="BI91" s="3"/>
      <c r="BJ91" s="3"/>
      <c r="BO91" s="3"/>
      <c r="BP91" s="3"/>
      <c r="BR91" s="3"/>
      <c r="BS91" s="3"/>
      <c r="BX91" s="3"/>
      <c r="BY91" s="3"/>
      <c r="CA91" s="3"/>
      <c r="CB91" s="3"/>
      <c r="CC91" s="3"/>
      <c r="CG91" s="3"/>
      <c r="CH91" s="3"/>
      <c r="CJ91" s="3"/>
      <c r="CK91" s="3"/>
      <c r="CP91" s="3"/>
      <c r="CQ91" s="3"/>
      <c r="CS91" s="3"/>
      <c r="CT91" s="3"/>
      <c r="CY91" s="3"/>
      <c r="CZ91" s="3"/>
      <c r="DB91" s="3"/>
      <c r="DC91" s="3"/>
    </row>
    <row r="92" spans="4:107" ht="16.2" x14ac:dyDescent="0.3">
      <c r="D92" s="69"/>
      <c r="E92" s="81"/>
      <c r="F92" s="70" t="s">
        <v>188</v>
      </c>
      <c r="G92" s="48">
        <v>420</v>
      </c>
      <c r="H92" s="48"/>
      <c r="I92" s="71"/>
      <c r="M92" s="69"/>
      <c r="N92" s="81"/>
      <c r="O92" s="70" t="s">
        <v>123</v>
      </c>
      <c r="P92" s="48"/>
      <c r="Q92" s="48">
        <v>375</v>
      </c>
      <c r="R92" s="71"/>
      <c r="V92"/>
      <c r="W92"/>
      <c r="X92"/>
      <c r="Y92"/>
      <c r="Z92"/>
      <c r="AA92"/>
      <c r="AE92" s="3"/>
      <c r="AF92" s="3"/>
      <c r="AH92" s="3"/>
      <c r="AI92" s="3"/>
      <c r="AJ92" s="3"/>
      <c r="AN92" s="3"/>
      <c r="AO92" s="3"/>
      <c r="AQ92" s="3"/>
      <c r="AR92" s="3"/>
      <c r="AW92" s="3"/>
      <c r="AX92" s="3"/>
      <c r="AZ92" s="3"/>
      <c r="BA92" s="3"/>
      <c r="BF92" s="3"/>
      <c r="BG92" s="3"/>
      <c r="BI92" s="3"/>
      <c r="BJ92" s="3"/>
      <c r="BO92" s="3"/>
      <c r="BP92" s="3"/>
      <c r="BR92" s="3"/>
      <c r="BS92" s="3"/>
      <c r="BX92" s="3"/>
      <c r="BY92" s="3"/>
      <c r="CA92" s="3"/>
      <c r="CB92" s="3"/>
      <c r="CC92" s="3"/>
      <c r="CG92" s="3"/>
      <c r="CH92" s="3"/>
      <c r="CJ92" s="3"/>
      <c r="CK92" s="3"/>
      <c r="CP92" s="3"/>
      <c r="CQ92" s="3"/>
      <c r="CS92" s="3"/>
      <c r="CT92" s="3"/>
      <c r="CY92" s="3"/>
      <c r="CZ92" s="3"/>
      <c r="DB92" s="3"/>
      <c r="DC92" s="3"/>
    </row>
    <row r="93" spans="4:107" ht="16.2" x14ac:dyDescent="0.3">
      <c r="D93" s="69"/>
      <c r="E93" s="81"/>
      <c r="F93" s="70" t="s">
        <v>189</v>
      </c>
      <c r="G93" s="48"/>
      <c r="H93" s="48">
        <v>580</v>
      </c>
      <c r="I93" s="71"/>
      <c r="M93" s="69">
        <v>10</v>
      </c>
      <c r="N93" s="81">
        <v>13</v>
      </c>
      <c r="O93" s="70" t="s">
        <v>46</v>
      </c>
      <c r="P93" s="48">
        <v>116</v>
      </c>
      <c r="Q93" s="48"/>
      <c r="R93" s="71"/>
      <c r="V93"/>
      <c r="W93"/>
      <c r="X93"/>
      <c r="Y93"/>
      <c r="Z93"/>
      <c r="AA93"/>
      <c r="AE93" s="3"/>
      <c r="AF93" s="3"/>
      <c r="AH93" s="3"/>
      <c r="AI93" s="3"/>
      <c r="AJ93" s="3"/>
      <c r="AN93" s="3"/>
      <c r="AO93" s="3"/>
      <c r="AQ93" s="3"/>
      <c r="AR93" s="3"/>
      <c r="AW93" s="3"/>
      <c r="AX93" s="3"/>
      <c r="AZ93" s="3"/>
      <c r="BA93" s="3"/>
      <c r="BF93" s="3"/>
      <c r="BG93" s="3"/>
      <c r="BI93" s="3"/>
      <c r="BJ93" s="3"/>
      <c r="BO93" s="3"/>
      <c r="BP93" s="3"/>
      <c r="BR93" s="3"/>
      <c r="BS93" s="3"/>
      <c r="BX93" s="3"/>
      <c r="BY93" s="3"/>
      <c r="CA93" s="3"/>
      <c r="CB93" s="3"/>
      <c r="CC93" s="3"/>
      <c r="CG93" s="3"/>
      <c r="CH93" s="3"/>
      <c r="CJ93" s="3"/>
      <c r="CK93" s="3"/>
      <c r="CP93" s="3"/>
      <c r="CQ93" s="3"/>
      <c r="CS93" s="3"/>
      <c r="CT93" s="3"/>
      <c r="CY93" s="3"/>
      <c r="CZ93" s="3"/>
      <c r="DB93" s="3"/>
      <c r="DC93" s="3"/>
    </row>
    <row r="94" spans="4:107" ht="16.2" x14ac:dyDescent="0.3">
      <c r="D94" s="69"/>
      <c r="E94" s="81"/>
      <c r="F94" s="70" t="s">
        <v>190</v>
      </c>
      <c r="G94" s="48"/>
      <c r="H94" s="48">
        <v>420</v>
      </c>
      <c r="I94" s="71"/>
      <c r="M94" s="69"/>
      <c r="N94" s="81"/>
      <c r="O94" s="70" t="s">
        <v>163</v>
      </c>
      <c r="P94" s="48"/>
      <c r="Q94" s="48">
        <v>116</v>
      </c>
      <c r="R94" s="71"/>
      <c r="V94"/>
      <c r="W94"/>
      <c r="X94"/>
      <c r="Y94"/>
      <c r="Z94"/>
      <c r="AA94"/>
      <c r="AE94" s="3"/>
      <c r="AF94" s="3"/>
      <c r="AH94" s="3"/>
      <c r="AI94" s="3"/>
      <c r="AJ94" s="3"/>
      <c r="AN94" s="3"/>
      <c r="AO94" s="3"/>
      <c r="AQ94" s="3"/>
      <c r="AR94" s="3"/>
      <c r="AW94" s="3"/>
      <c r="AX94" s="3"/>
      <c r="AZ94" s="3"/>
      <c r="BA94" s="3"/>
      <c r="BF94" s="3"/>
      <c r="BG94" s="3"/>
      <c r="BI94" s="3"/>
      <c r="BJ94" s="3"/>
      <c r="BO94" s="3"/>
      <c r="BP94" s="3"/>
      <c r="BR94" s="3"/>
      <c r="BS94" s="3"/>
      <c r="BX94" s="3"/>
      <c r="BY94" s="3"/>
      <c r="CA94" s="3"/>
      <c r="CB94" s="3"/>
      <c r="CC94" s="3"/>
      <c r="CG94" s="3"/>
      <c r="CH94" s="3"/>
      <c r="CJ94" s="3"/>
      <c r="CK94" s="3"/>
      <c r="CP94" s="3"/>
      <c r="CQ94" s="3"/>
      <c r="CS94" s="3"/>
      <c r="CT94" s="3"/>
      <c r="CY94" s="3"/>
      <c r="CZ94" s="3"/>
      <c r="DB94" s="3"/>
      <c r="DC94" s="3"/>
    </row>
    <row r="95" spans="4:107" ht="16.2" x14ac:dyDescent="0.3">
      <c r="D95" s="69"/>
      <c r="E95" s="83" t="s">
        <v>99</v>
      </c>
      <c r="F95" s="70" t="s">
        <v>132</v>
      </c>
      <c r="G95" s="48">
        <v>132</v>
      </c>
      <c r="H95" s="48"/>
      <c r="I95" s="71"/>
      <c r="M95" s="69"/>
      <c r="N95" s="83" t="s">
        <v>99</v>
      </c>
      <c r="O95" s="70" t="s">
        <v>124</v>
      </c>
      <c r="P95" s="48">
        <v>30</v>
      </c>
      <c r="Q95" s="48"/>
      <c r="R95" s="71"/>
      <c r="V95"/>
      <c r="W95"/>
      <c r="X95"/>
      <c r="Y95"/>
      <c r="Z95"/>
      <c r="AA95"/>
      <c r="AE95" s="3"/>
      <c r="AF95" s="3"/>
      <c r="AH95" s="3"/>
      <c r="AI95" s="3"/>
      <c r="AJ95" s="3"/>
      <c r="AN95" s="3"/>
      <c r="AO95" s="3"/>
      <c r="AQ95" s="3"/>
      <c r="AR95" s="3"/>
      <c r="AW95" s="3"/>
      <c r="AX95" s="3"/>
      <c r="AZ95" s="3"/>
      <c r="BA95" s="3"/>
      <c r="BF95" s="3"/>
      <c r="BG95" s="3"/>
      <c r="BI95" s="3"/>
      <c r="BJ95" s="3"/>
      <c r="BO95" s="3"/>
      <c r="BP95" s="3"/>
      <c r="BR95" s="3"/>
      <c r="BS95" s="3"/>
      <c r="BX95" s="3"/>
      <c r="BY95" s="3"/>
      <c r="CA95" s="3"/>
      <c r="CB95" s="3"/>
      <c r="CC95" s="3"/>
      <c r="CG95" s="3"/>
      <c r="CH95" s="3"/>
      <c r="CJ95" s="3"/>
      <c r="CK95" s="3"/>
      <c r="CP95" s="3"/>
      <c r="CQ95" s="3"/>
      <c r="CS95" s="3"/>
      <c r="CT95" s="3"/>
      <c r="CY95" s="3"/>
      <c r="CZ95" s="3"/>
      <c r="DB95" s="3"/>
      <c r="DC95" s="3"/>
    </row>
    <row r="96" spans="4:107" ht="16.2" x14ac:dyDescent="0.3">
      <c r="D96" s="69"/>
      <c r="E96" s="81"/>
      <c r="F96" s="70" t="s">
        <v>89</v>
      </c>
      <c r="G96" s="48">
        <v>204</v>
      </c>
      <c r="H96" s="48"/>
      <c r="I96" s="71"/>
      <c r="M96" s="69"/>
      <c r="N96" s="81"/>
      <c r="O96" s="70" t="s">
        <v>164</v>
      </c>
      <c r="P96" s="48">
        <v>29</v>
      </c>
      <c r="Q96" s="48"/>
      <c r="R96" s="71"/>
      <c r="V96"/>
      <c r="W96"/>
      <c r="X96"/>
      <c r="Y96"/>
      <c r="Z96"/>
      <c r="AA96"/>
      <c r="AE96" s="3"/>
      <c r="AF96" s="3"/>
      <c r="AH96" s="3"/>
      <c r="AI96" s="3"/>
      <c r="AJ96" s="3"/>
      <c r="AN96" s="3"/>
      <c r="AO96" s="3"/>
      <c r="AQ96" s="3"/>
      <c r="AR96" s="3"/>
      <c r="AW96" s="3"/>
      <c r="AX96" s="3"/>
      <c r="AZ96" s="3"/>
      <c r="BA96" s="3"/>
      <c r="BF96" s="3"/>
      <c r="BG96" s="3"/>
      <c r="BI96" s="3"/>
      <c r="BJ96" s="3"/>
      <c r="BO96" s="3"/>
      <c r="BP96" s="3"/>
      <c r="BR96" s="3"/>
      <c r="BS96" s="3"/>
      <c r="BX96" s="3"/>
      <c r="BY96" s="3"/>
      <c r="CA96" s="3"/>
      <c r="CB96" s="3"/>
      <c r="CC96" s="3"/>
      <c r="CG96" s="3"/>
      <c r="CH96" s="3"/>
      <c r="CJ96" s="3"/>
      <c r="CK96" s="3"/>
      <c r="CP96" s="3"/>
      <c r="CQ96" s="3"/>
      <c r="CS96" s="3"/>
      <c r="CT96" s="3"/>
      <c r="CY96" s="3"/>
      <c r="CZ96" s="3"/>
      <c r="DB96" s="3"/>
      <c r="DC96" s="3"/>
    </row>
    <row r="97" spans="4:107" ht="16.2" x14ac:dyDescent="0.3">
      <c r="D97" s="69"/>
      <c r="E97" s="81"/>
      <c r="F97" s="70" t="s">
        <v>123</v>
      </c>
      <c r="G97" s="48"/>
      <c r="H97" s="48">
        <v>336</v>
      </c>
      <c r="I97" s="71"/>
      <c r="M97" s="69"/>
      <c r="N97" s="81"/>
      <c r="O97" s="70" t="s">
        <v>128</v>
      </c>
      <c r="P97" s="48"/>
      <c r="Q97" s="48">
        <v>59</v>
      </c>
      <c r="R97" s="71"/>
      <c r="V97"/>
      <c r="W97"/>
      <c r="X97"/>
      <c r="Y97"/>
      <c r="Z97"/>
      <c r="AA97"/>
      <c r="AE97" s="3"/>
      <c r="AF97" s="3"/>
      <c r="AH97" s="3"/>
      <c r="AI97" s="3"/>
      <c r="AJ97" s="3"/>
      <c r="AN97" s="3"/>
      <c r="AO97" s="3"/>
      <c r="AQ97" s="3"/>
      <c r="AR97" s="3"/>
      <c r="AW97" s="3"/>
      <c r="AX97" s="3"/>
      <c r="AZ97" s="3"/>
      <c r="BA97" s="3"/>
      <c r="BF97" s="3"/>
      <c r="BG97" s="3"/>
      <c r="BI97" s="3"/>
      <c r="BJ97" s="3"/>
      <c r="BO97" s="3"/>
      <c r="BP97" s="3"/>
      <c r="BR97" s="3"/>
      <c r="BS97" s="3"/>
      <c r="BX97" s="3"/>
      <c r="BY97" s="3"/>
      <c r="CA97" s="3"/>
      <c r="CB97" s="3"/>
      <c r="CC97" s="3"/>
      <c r="CG97" s="3"/>
      <c r="CH97" s="3"/>
      <c r="CJ97" s="3"/>
      <c r="CK97" s="3"/>
      <c r="CP97" s="3"/>
      <c r="CQ97" s="3"/>
      <c r="CS97" s="3"/>
      <c r="CT97" s="3"/>
      <c r="CY97" s="3"/>
      <c r="CZ97" s="3"/>
      <c r="DB97" s="3"/>
      <c r="DC97" s="3"/>
    </row>
    <row r="98" spans="4:107" ht="16.2" x14ac:dyDescent="0.3">
      <c r="D98" s="69"/>
      <c r="E98" s="83" t="s">
        <v>99</v>
      </c>
      <c r="F98" s="70" t="s">
        <v>192</v>
      </c>
      <c r="G98" s="48">
        <v>580</v>
      </c>
      <c r="H98" s="48"/>
      <c r="I98" s="71"/>
      <c r="M98" s="69"/>
      <c r="N98" s="83" t="s">
        <v>99</v>
      </c>
      <c r="O98" s="70" t="s">
        <v>132</v>
      </c>
      <c r="P98" s="48">
        <v>116</v>
      </c>
      <c r="Q98" s="48"/>
      <c r="R98" s="71"/>
      <c r="V98"/>
      <c r="W98"/>
      <c r="X98"/>
      <c r="Y98"/>
      <c r="Z98"/>
      <c r="AA98"/>
      <c r="AE98" s="3"/>
      <c r="AF98" s="3"/>
      <c r="AH98" s="3"/>
      <c r="AI98" s="3"/>
      <c r="AJ98" s="3"/>
      <c r="AN98" s="3"/>
      <c r="AO98" s="3"/>
      <c r="AQ98" s="3"/>
      <c r="AR98" s="3"/>
      <c r="AW98" s="3"/>
      <c r="AX98" s="3"/>
      <c r="AZ98" s="3"/>
      <c r="BA98" s="3"/>
      <c r="BF98" s="3"/>
      <c r="BG98" s="3"/>
      <c r="BI98" s="3"/>
      <c r="BJ98" s="3"/>
      <c r="BO98" s="3"/>
      <c r="BP98" s="3"/>
      <c r="BR98" s="3"/>
      <c r="BS98" s="3"/>
      <c r="BX98" s="3"/>
      <c r="BY98" s="3"/>
      <c r="CA98" s="3"/>
      <c r="CB98" s="3"/>
      <c r="CC98" s="3"/>
      <c r="CG98" s="3"/>
      <c r="CH98" s="3"/>
      <c r="CJ98" s="3"/>
      <c r="CK98" s="3"/>
      <c r="CP98" s="3"/>
      <c r="CQ98" s="3"/>
      <c r="CS98" s="3"/>
      <c r="CT98" s="3"/>
      <c r="CY98" s="3"/>
      <c r="CZ98" s="3"/>
      <c r="DB98" s="3"/>
      <c r="DC98" s="3"/>
    </row>
    <row r="99" spans="4:107" ht="16.2" x14ac:dyDescent="0.3">
      <c r="D99" s="69"/>
      <c r="E99" s="81"/>
      <c r="F99" s="70" t="s">
        <v>193</v>
      </c>
      <c r="G99" s="48"/>
      <c r="H99" s="48">
        <v>580</v>
      </c>
      <c r="I99" s="71"/>
      <c r="M99" s="69"/>
      <c r="N99" s="81"/>
      <c r="O99" s="70" t="s">
        <v>89</v>
      </c>
      <c r="P99" s="48">
        <v>59</v>
      </c>
      <c r="Q99" s="48"/>
      <c r="R99" s="71"/>
      <c r="V99"/>
      <c r="W99"/>
      <c r="X99"/>
      <c r="Y99"/>
      <c r="Z99"/>
      <c r="AA99"/>
      <c r="AE99" s="3"/>
      <c r="AF99" s="3"/>
      <c r="AH99" s="3"/>
      <c r="AI99" s="3"/>
      <c r="AJ99" s="3"/>
      <c r="AN99" s="3"/>
      <c r="AO99" s="3"/>
      <c r="AQ99" s="3"/>
      <c r="AR99" s="3"/>
      <c r="AW99" s="3"/>
      <c r="AX99" s="3"/>
      <c r="AZ99" s="3"/>
      <c r="BA99" s="3"/>
      <c r="BF99" s="3"/>
      <c r="BG99" s="3"/>
      <c r="BI99" s="3"/>
      <c r="BJ99" s="3"/>
      <c r="BO99" s="3"/>
      <c r="BP99" s="3"/>
      <c r="BR99" s="3"/>
      <c r="BS99" s="3"/>
      <c r="BX99" s="3"/>
      <c r="BY99" s="3"/>
      <c r="CA99" s="3"/>
      <c r="CB99" s="3"/>
      <c r="CC99" s="3"/>
      <c r="CG99" s="3"/>
      <c r="CH99" s="3"/>
      <c r="CJ99" s="3"/>
      <c r="CK99" s="3"/>
      <c r="CP99" s="3"/>
      <c r="CQ99" s="3"/>
      <c r="CS99" s="3"/>
      <c r="CT99" s="3"/>
      <c r="CY99" s="3"/>
      <c r="CZ99" s="3"/>
      <c r="DB99" s="3"/>
      <c r="DC99" s="3"/>
    </row>
    <row r="100" spans="4:107" ht="16.2" x14ac:dyDescent="0.3">
      <c r="D100" s="69">
        <v>9</v>
      </c>
      <c r="E100" s="81">
        <v>25</v>
      </c>
      <c r="F100" s="70" t="s">
        <v>166</v>
      </c>
      <c r="G100" s="48">
        <v>260</v>
      </c>
      <c r="H100" s="48"/>
      <c r="I100" s="71"/>
      <c r="M100" s="69"/>
      <c r="N100" s="81"/>
      <c r="O100" s="70" t="s">
        <v>123</v>
      </c>
      <c r="P100" s="48"/>
      <c r="Q100" s="48">
        <v>175</v>
      </c>
      <c r="R100" s="71"/>
      <c r="V100"/>
      <c r="W100"/>
      <c r="X100"/>
      <c r="Y100"/>
      <c r="Z100"/>
      <c r="AA100"/>
      <c r="AE100" s="3"/>
      <c r="AF100" s="3"/>
      <c r="AH100" s="3"/>
      <c r="AI100" s="3"/>
      <c r="AJ100" s="3"/>
      <c r="AN100" s="3"/>
      <c r="AO100" s="3"/>
      <c r="AQ100" s="3"/>
      <c r="AR100" s="3"/>
      <c r="AW100" s="3"/>
      <c r="AX100" s="3"/>
      <c r="AZ100" s="3"/>
      <c r="BA100" s="3"/>
      <c r="BF100" s="3"/>
      <c r="BG100" s="3"/>
      <c r="BI100" s="3"/>
      <c r="BJ100" s="3"/>
      <c r="BO100" s="3"/>
      <c r="BP100" s="3"/>
      <c r="BR100" s="3"/>
      <c r="BS100" s="3"/>
      <c r="BX100" s="3"/>
      <c r="BY100" s="3"/>
      <c r="CA100" s="3"/>
      <c r="CB100" s="3"/>
      <c r="CC100" s="3"/>
      <c r="CG100" s="3"/>
      <c r="CH100" s="3"/>
      <c r="CJ100" s="3"/>
      <c r="CK100" s="3"/>
      <c r="CP100" s="3"/>
      <c r="CQ100" s="3"/>
      <c r="CS100" s="3"/>
      <c r="CT100" s="3"/>
      <c r="CY100" s="3"/>
      <c r="CZ100" s="3"/>
      <c r="DB100" s="3"/>
      <c r="DC100" s="3"/>
    </row>
    <row r="101" spans="4:107" ht="16.2" x14ac:dyDescent="0.3">
      <c r="D101" s="69"/>
      <c r="E101" s="81"/>
      <c r="F101" s="70" t="s">
        <v>196</v>
      </c>
      <c r="G101" s="48">
        <v>500</v>
      </c>
      <c r="H101" s="48"/>
      <c r="I101" s="71"/>
      <c r="M101" s="69"/>
      <c r="N101" s="81"/>
      <c r="O101" s="70"/>
      <c r="P101" s="48"/>
      <c r="Q101" s="48"/>
      <c r="R101" s="71"/>
      <c r="V101"/>
      <c r="W101"/>
      <c r="X101"/>
      <c r="Y101"/>
      <c r="Z101"/>
      <c r="AA101"/>
      <c r="AE101" s="3"/>
      <c r="AF101" s="3"/>
      <c r="AH101" s="3"/>
      <c r="AI101" s="3"/>
      <c r="AJ101" s="3"/>
      <c r="AN101" s="3"/>
      <c r="AO101" s="3"/>
      <c r="AQ101" s="3"/>
      <c r="AR101" s="3"/>
      <c r="AW101" s="3"/>
      <c r="AX101" s="3"/>
      <c r="AZ101" s="3"/>
      <c r="BA101" s="3"/>
      <c r="BF101" s="3"/>
      <c r="BG101" s="3"/>
      <c r="BI101" s="3"/>
      <c r="BJ101" s="3"/>
      <c r="BO101" s="3"/>
      <c r="BP101" s="3"/>
      <c r="BR101" s="3"/>
      <c r="BS101" s="3"/>
      <c r="BX101" s="3"/>
      <c r="BY101" s="3"/>
      <c r="CA101" s="3"/>
      <c r="CB101" s="3"/>
      <c r="CC101" s="3"/>
      <c r="CG101" s="3"/>
      <c r="CH101" s="3"/>
      <c r="CJ101" s="3"/>
      <c r="CK101" s="3"/>
      <c r="CP101" s="3"/>
      <c r="CQ101" s="3"/>
      <c r="CS101" s="3"/>
      <c r="CT101" s="3"/>
      <c r="CY101" s="3"/>
      <c r="CZ101" s="3"/>
      <c r="DB101" s="3"/>
      <c r="DC101" s="3"/>
    </row>
    <row r="102" spans="4:107" ht="16.2" x14ac:dyDescent="0.3">
      <c r="D102" s="69"/>
      <c r="E102" s="81"/>
      <c r="F102" s="70" t="s">
        <v>194</v>
      </c>
      <c r="G102" s="48"/>
      <c r="H102" s="48">
        <v>160</v>
      </c>
      <c r="I102" s="71"/>
      <c r="M102" s="69"/>
      <c r="N102" s="81"/>
      <c r="O102" s="70"/>
      <c r="P102" s="48"/>
      <c r="Q102" s="48"/>
      <c r="R102" s="71"/>
      <c r="V102"/>
      <c r="W102"/>
      <c r="X102"/>
      <c r="Y102"/>
      <c r="Z102"/>
      <c r="AA102"/>
      <c r="AE102" s="3"/>
      <c r="AF102" s="3"/>
      <c r="AH102" s="3"/>
      <c r="AI102" s="3"/>
      <c r="AJ102" s="3"/>
      <c r="AN102" s="3"/>
      <c r="AO102" s="3"/>
      <c r="AQ102" s="3"/>
      <c r="AR102" s="3"/>
      <c r="AW102" s="3"/>
      <c r="AX102" s="3"/>
      <c r="AZ102" s="3"/>
      <c r="BA102" s="3"/>
      <c r="BF102" s="3"/>
      <c r="BG102" s="3"/>
      <c r="BI102" s="3"/>
      <c r="BJ102" s="3"/>
      <c r="BO102" s="3"/>
      <c r="BP102" s="3"/>
      <c r="BR102" s="3"/>
      <c r="BS102" s="3"/>
      <c r="BX102" s="3"/>
      <c r="BY102" s="3"/>
      <c r="CA102" s="3"/>
      <c r="CB102" s="3"/>
      <c r="CC102" s="3"/>
      <c r="CG102" s="3"/>
      <c r="CH102" s="3"/>
      <c r="CJ102" s="3"/>
      <c r="CK102" s="3"/>
      <c r="CP102" s="3"/>
      <c r="CQ102" s="3"/>
      <c r="CS102" s="3"/>
      <c r="CT102" s="3"/>
      <c r="CY102" s="3"/>
      <c r="CZ102" s="3"/>
      <c r="DB102" s="3"/>
      <c r="DC102" s="3"/>
    </row>
    <row r="103" spans="4:107" ht="16.2" x14ac:dyDescent="0.3">
      <c r="D103" s="69"/>
      <c r="E103" s="81"/>
      <c r="F103" s="70" t="s">
        <v>195</v>
      </c>
      <c r="G103" s="48"/>
      <c r="H103" s="48">
        <v>600</v>
      </c>
      <c r="I103" s="71"/>
      <c r="M103" s="69"/>
      <c r="N103" s="81"/>
      <c r="O103" s="70"/>
      <c r="P103" s="48"/>
      <c r="Q103" s="48"/>
      <c r="R103" s="71"/>
      <c r="V103"/>
      <c r="W103"/>
      <c r="X103"/>
      <c r="Y103"/>
      <c r="Z103"/>
      <c r="AA103"/>
      <c r="AE103" s="3"/>
      <c r="AF103" s="3"/>
      <c r="AH103" s="3"/>
      <c r="AI103" s="3"/>
      <c r="AJ103" s="3"/>
      <c r="AN103" s="3"/>
      <c r="AO103" s="3"/>
      <c r="AQ103" s="3"/>
      <c r="AR103" s="3"/>
      <c r="AW103" s="3"/>
      <c r="AX103" s="3"/>
      <c r="AZ103" s="3"/>
      <c r="BA103" s="3"/>
      <c r="BF103" s="3"/>
      <c r="BG103" s="3"/>
      <c r="BI103" s="3"/>
      <c r="BJ103" s="3"/>
      <c r="BO103" s="3"/>
      <c r="BP103" s="3"/>
      <c r="BR103" s="3"/>
      <c r="BS103" s="3"/>
      <c r="BX103" s="3"/>
      <c r="BY103" s="3"/>
      <c r="CA103" s="3"/>
      <c r="CB103" s="3"/>
      <c r="CC103" s="3"/>
      <c r="CG103" s="3"/>
      <c r="CH103" s="3"/>
      <c r="CJ103" s="3"/>
      <c r="CK103" s="3"/>
      <c r="CP103" s="3"/>
      <c r="CQ103" s="3"/>
      <c r="CS103" s="3"/>
      <c r="CT103" s="3"/>
      <c r="CY103" s="3"/>
      <c r="CZ103" s="3"/>
      <c r="DB103" s="3"/>
      <c r="DC103" s="3"/>
    </row>
    <row r="104" spans="4:107" ht="16.2" x14ac:dyDescent="0.3">
      <c r="D104" s="69"/>
      <c r="E104" s="83" t="s">
        <v>99</v>
      </c>
      <c r="F104" s="70" t="s">
        <v>196</v>
      </c>
      <c r="G104" s="48">
        <v>500</v>
      </c>
      <c r="H104" s="48"/>
      <c r="I104" s="71"/>
      <c r="M104" s="69"/>
      <c r="N104" s="81"/>
      <c r="O104" s="70"/>
      <c r="P104" s="48"/>
      <c r="Q104" s="48"/>
      <c r="R104" s="71"/>
      <c r="V104"/>
      <c r="W104"/>
      <c r="X104"/>
      <c r="Y104"/>
      <c r="Z104"/>
      <c r="AA104"/>
      <c r="AE104" s="3"/>
      <c r="AF104" s="3"/>
      <c r="AH104" s="3"/>
      <c r="AI104" s="3"/>
      <c r="AJ104" s="3"/>
      <c r="AN104" s="3"/>
      <c r="AO104" s="3"/>
      <c r="AQ104" s="3"/>
      <c r="AR104" s="3"/>
      <c r="AW104" s="3"/>
      <c r="AX104" s="3"/>
      <c r="AZ104" s="3"/>
      <c r="BA104" s="3"/>
      <c r="BF104" s="3"/>
      <c r="BG104" s="3"/>
      <c r="BI104" s="3"/>
      <c r="BJ104" s="3"/>
      <c r="BO104" s="3"/>
      <c r="BP104" s="3"/>
      <c r="BR104" s="3"/>
      <c r="BS104" s="3"/>
      <c r="BX104" s="3"/>
      <c r="BY104" s="3"/>
      <c r="CA104" s="3"/>
      <c r="CB104" s="3"/>
      <c r="CC104" s="3"/>
      <c r="CG104" s="3"/>
      <c r="CH104" s="3"/>
      <c r="CJ104" s="3"/>
      <c r="CK104" s="3"/>
      <c r="CP104" s="3"/>
      <c r="CQ104" s="3"/>
      <c r="CS104" s="3"/>
      <c r="CT104" s="3"/>
      <c r="CY104" s="3"/>
      <c r="CZ104" s="3"/>
      <c r="DB104" s="3"/>
      <c r="DC104" s="3"/>
    </row>
    <row r="105" spans="4:107" ht="16.2" x14ac:dyDescent="0.3">
      <c r="D105" s="69"/>
      <c r="E105" s="81"/>
      <c r="F105" s="70" t="s">
        <v>198</v>
      </c>
      <c r="G105" s="48">
        <v>2</v>
      </c>
      <c r="H105" s="48"/>
      <c r="I105" s="71"/>
      <c r="M105" s="69"/>
      <c r="N105" s="83"/>
      <c r="O105" s="70"/>
      <c r="P105" s="48"/>
      <c r="Q105" s="48"/>
      <c r="R105" s="71"/>
      <c r="V105"/>
      <c r="W105"/>
      <c r="X105"/>
      <c r="Y105"/>
      <c r="Z105"/>
      <c r="AA105"/>
      <c r="AE105" s="3"/>
      <c r="AF105" s="3"/>
      <c r="AH105" s="3"/>
      <c r="AI105" s="3"/>
      <c r="AJ105" s="3"/>
      <c r="AN105" s="3"/>
      <c r="AO105" s="3"/>
      <c r="AQ105" s="3"/>
      <c r="AR105" s="3"/>
      <c r="AW105" s="3"/>
      <c r="AX105" s="3"/>
      <c r="AZ105" s="3"/>
      <c r="BA105" s="3"/>
      <c r="BF105" s="3"/>
      <c r="BG105" s="3"/>
      <c r="BI105" s="3"/>
      <c r="BJ105" s="3"/>
      <c r="BO105" s="3"/>
      <c r="BP105" s="3"/>
      <c r="BR105" s="3"/>
      <c r="BS105" s="3"/>
      <c r="BX105" s="3"/>
      <c r="BY105" s="3"/>
      <c r="CA105" s="3"/>
      <c r="CB105" s="3"/>
      <c r="CC105" s="3"/>
      <c r="CG105" s="3"/>
      <c r="CH105" s="3"/>
      <c r="CJ105" s="3"/>
      <c r="CK105" s="3"/>
      <c r="CP105" s="3"/>
      <c r="CQ105" s="3"/>
      <c r="CS105" s="3"/>
      <c r="CT105" s="3"/>
      <c r="CY105" s="3"/>
      <c r="CZ105" s="3"/>
      <c r="DB105" s="3"/>
      <c r="DC105" s="3"/>
    </row>
    <row r="106" spans="4:107" ht="16.2" x14ac:dyDescent="0.3">
      <c r="D106" s="69"/>
      <c r="E106" s="81"/>
      <c r="F106" s="70" t="s">
        <v>197</v>
      </c>
      <c r="G106" s="48"/>
      <c r="H106" s="48">
        <v>502</v>
      </c>
      <c r="I106" s="71"/>
      <c r="M106" s="69"/>
      <c r="N106" s="81"/>
      <c r="O106" s="70"/>
      <c r="P106" s="48"/>
      <c r="Q106" s="48"/>
      <c r="R106" s="71"/>
      <c r="V106"/>
      <c r="W106"/>
      <c r="X106"/>
      <c r="Y106"/>
      <c r="Z106"/>
      <c r="AA106"/>
      <c r="AE106" s="3"/>
      <c r="AF106" s="3"/>
      <c r="AH106" s="3"/>
      <c r="AI106" s="3"/>
      <c r="AJ106" s="3"/>
      <c r="AN106" s="3"/>
      <c r="AO106" s="3"/>
      <c r="AQ106" s="3"/>
      <c r="AR106" s="3"/>
      <c r="AW106" s="3"/>
      <c r="AX106" s="3"/>
      <c r="AZ106" s="3"/>
      <c r="BA106" s="3"/>
      <c r="BF106" s="3"/>
      <c r="BG106" s="3"/>
      <c r="BI106" s="3"/>
      <c r="BJ106" s="3"/>
      <c r="BO106" s="3"/>
      <c r="BP106" s="3"/>
      <c r="BR106" s="3"/>
      <c r="BS106" s="3"/>
      <c r="BX106" s="3"/>
      <c r="BY106" s="3"/>
      <c r="CA106" s="3"/>
      <c r="CB106" s="3"/>
      <c r="CC106" s="3"/>
      <c r="CG106" s="3"/>
      <c r="CH106" s="3"/>
      <c r="CJ106" s="3"/>
      <c r="CK106" s="3"/>
      <c r="CP106" s="3"/>
      <c r="CQ106" s="3"/>
      <c r="CS106" s="3"/>
      <c r="CT106" s="3"/>
      <c r="CY106" s="3"/>
      <c r="CZ106" s="3"/>
      <c r="DB106" s="3"/>
      <c r="DC106" s="3"/>
    </row>
    <row r="107" spans="4:107" ht="16.2" x14ac:dyDescent="0.3">
      <c r="D107" s="69"/>
      <c r="E107" s="83" t="s">
        <v>99</v>
      </c>
      <c r="F107" s="70" t="s">
        <v>204</v>
      </c>
      <c r="G107" s="48">
        <v>236</v>
      </c>
      <c r="H107" s="48"/>
      <c r="I107" s="71"/>
      <c r="M107" s="69"/>
      <c r="N107" s="81"/>
      <c r="O107" s="70"/>
      <c r="P107" s="48"/>
      <c r="Q107" s="48"/>
      <c r="R107" s="71"/>
      <c r="V107"/>
      <c r="W107"/>
      <c r="X107"/>
      <c r="Y107"/>
      <c r="Z107"/>
      <c r="AA107"/>
      <c r="AE107" s="3"/>
      <c r="AF107" s="3"/>
      <c r="AH107" s="3"/>
      <c r="AI107" s="3"/>
      <c r="AJ107" s="3"/>
      <c r="AN107" s="3"/>
      <c r="AO107" s="3"/>
      <c r="AQ107" s="3"/>
      <c r="AR107" s="3"/>
      <c r="AW107" s="3"/>
      <c r="AX107" s="3"/>
      <c r="AZ107" s="3"/>
      <c r="BA107" s="3"/>
      <c r="BF107" s="3"/>
      <c r="BG107" s="3"/>
      <c r="BI107" s="3"/>
      <c r="BJ107" s="3"/>
      <c r="BO107" s="3"/>
      <c r="BP107" s="3"/>
      <c r="BR107" s="3"/>
      <c r="BS107" s="3"/>
      <c r="BX107" s="3"/>
      <c r="BY107" s="3"/>
      <c r="CA107" s="3"/>
      <c r="CB107" s="3"/>
      <c r="CC107" s="3"/>
      <c r="CG107" s="3"/>
      <c r="CH107" s="3"/>
      <c r="CJ107" s="3"/>
      <c r="CK107" s="3"/>
      <c r="CP107" s="3"/>
      <c r="CQ107" s="3"/>
      <c r="CS107" s="3"/>
      <c r="CT107" s="3"/>
      <c r="CY107" s="3"/>
      <c r="CZ107" s="3"/>
      <c r="DB107" s="3"/>
      <c r="DC107" s="3"/>
    </row>
    <row r="108" spans="4:107" ht="16.2" x14ac:dyDescent="0.3">
      <c r="D108" s="69"/>
      <c r="E108" s="81"/>
      <c r="F108" s="70" t="s">
        <v>205</v>
      </c>
      <c r="G108" s="48"/>
      <c r="H108" s="48">
        <v>236</v>
      </c>
      <c r="I108" s="71"/>
      <c r="M108" s="69"/>
      <c r="N108" s="81"/>
      <c r="O108" s="70"/>
      <c r="P108" s="48"/>
      <c r="Q108" s="48"/>
      <c r="R108" s="71"/>
      <c r="V108"/>
      <c r="W108"/>
      <c r="X108"/>
      <c r="Y108"/>
      <c r="Z108"/>
      <c r="AA108"/>
      <c r="AE108" s="3"/>
      <c r="AF108" s="3"/>
      <c r="AH108" s="3"/>
      <c r="AI108" s="3"/>
      <c r="AJ108" s="3"/>
      <c r="AN108" s="3"/>
      <c r="AO108" s="3"/>
      <c r="AQ108" s="3"/>
      <c r="AR108" s="3"/>
      <c r="AW108" s="3"/>
      <c r="AX108" s="3"/>
      <c r="AZ108" s="3"/>
      <c r="BA108" s="3"/>
      <c r="BF108" s="3"/>
      <c r="BG108" s="3"/>
      <c r="BI108" s="3"/>
      <c r="BJ108" s="3"/>
      <c r="BO108" s="3"/>
      <c r="BP108" s="3"/>
      <c r="BR108" s="3"/>
      <c r="BS108" s="3"/>
      <c r="BX108" s="3"/>
      <c r="BY108" s="3"/>
      <c r="CA108" s="3"/>
      <c r="CB108" s="3"/>
      <c r="CC108" s="3"/>
      <c r="CG108" s="3"/>
      <c r="CH108" s="3"/>
      <c r="CJ108" s="3"/>
      <c r="CK108" s="3"/>
      <c r="CP108" s="3"/>
      <c r="CQ108" s="3"/>
      <c r="CS108" s="3"/>
      <c r="CT108" s="3"/>
      <c r="CY108" s="3"/>
      <c r="CZ108" s="3"/>
      <c r="DB108" s="3"/>
      <c r="DC108" s="3"/>
    </row>
    <row r="109" spans="4:107" ht="16.2" x14ac:dyDescent="0.3">
      <c r="D109" s="69"/>
      <c r="E109" s="83" t="s">
        <v>99</v>
      </c>
      <c r="F109" s="70" t="s">
        <v>199</v>
      </c>
      <c r="G109" s="48">
        <v>600</v>
      </c>
      <c r="H109" s="48"/>
      <c r="I109" s="71"/>
      <c r="M109" s="69"/>
      <c r="N109" s="83"/>
      <c r="O109" s="70"/>
      <c r="P109" s="48"/>
      <c r="Q109" s="48"/>
      <c r="R109" s="71"/>
      <c r="V109"/>
      <c r="W109"/>
      <c r="X109"/>
      <c r="Y109"/>
      <c r="Z109"/>
      <c r="AA109"/>
      <c r="AE109" s="3"/>
      <c r="AF109" s="3"/>
      <c r="AH109" s="3"/>
      <c r="AI109" s="3"/>
      <c r="AJ109" s="3"/>
      <c r="AN109" s="3"/>
      <c r="AO109" s="3"/>
      <c r="AQ109" s="3"/>
      <c r="AR109" s="3"/>
      <c r="AW109" s="3"/>
      <c r="AX109" s="3"/>
      <c r="AZ109" s="3"/>
      <c r="BA109" s="3"/>
      <c r="BF109" s="3"/>
      <c r="BG109" s="3"/>
      <c r="BI109" s="3"/>
      <c r="BJ109" s="3"/>
      <c r="BO109" s="3"/>
      <c r="BP109" s="3"/>
      <c r="BR109" s="3"/>
      <c r="BS109" s="3"/>
      <c r="BX109" s="3"/>
      <c r="BY109" s="3"/>
      <c r="CA109" s="3"/>
      <c r="CB109" s="3"/>
      <c r="CC109" s="3"/>
      <c r="CG109" s="3"/>
      <c r="CH109" s="3"/>
      <c r="CJ109" s="3"/>
      <c r="CK109" s="3"/>
      <c r="CP109" s="3"/>
      <c r="CQ109" s="3"/>
      <c r="CS109" s="3"/>
      <c r="CT109" s="3"/>
      <c r="CY109" s="3"/>
      <c r="CZ109" s="3"/>
      <c r="DB109" s="3"/>
      <c r="DC109" s="3"/>
    </row>
    <row r="110" spans="4:107" ht="16.2" x14ac:dyDescent="0.3">
      <c r="D110" s="69"/>
      <c r="E110" s="81"/>
      <c r="F110" s="70" t="s">
        <v>200</v>
      </c>
      <c r="G110" s="48"/>
      <c r="H110" s="48">
        <v>100</v>
      </c>
      <c r="I110" s="71"/>
      <c r="M110" s="69"/>
      <c r="N110" s="81"/>
      <c r="O110" s="70"/>
      <c r="P110" s="48"/>
      <c r="Q110" s="48"/>
      <c r="R110" s="71"/>
      <c r="V110"/>
      <c r="W110"/>
      <c r="X110"/>
      <c r="Y110"/>
      <c r="Z110"/>
      <c r="AA110"/>
      <c r="AE110" s="3"/>
      <c r="AF110" s="3"/>
      <c r="AH110" s="3"/>
      <c r="AI110" s="3"/>
      <c r="AJ110" s="3"/>
      <c r="AN110" s="3"/>
      <c r="AO110" s="3"/>
      <c r="AQ110" s="3"/>
      <c r="AR110" s="3"/>
      <c r="AW110" s="3"/>
      <c r="AX110" s="3"/>
      <c r="AZ110" s="3"/>
      <c r="BA110" s="3"/>
      <c r="BF110" s="3"/>
      <c r="BG110" s="3"/>
      <c r="BI110" s="3"/>
      <c r="BJ110" s="3"/>
      <c r="BO110" s="3"/>
      <c r="BP110" s="3"/>
      <c r="BR110" s="3"/>
      <c r="BS110" s="3"/>
      <c r="BX110" s="3"/>
      <c r="BY110" s="3"/>
      <c r="CA110" s="3"/>
      <c r="CB110" s="3"/>
      <c r="CC110" s="3"/>
      <c r="CG110" s="3"/>
      <c r="CH110" s="3"/>
      <c r="CJ110" s="3"/>
      <c r="CK110" s="3"/>
      <c r="CP110" s="3"/>
      <c r="CQ110" s="3"/>
      <c r="CS110" s="3"/>
      <c r="CT110" s="3"/>
      <c r="CY110" s="3"/>
      <c r="CZ110" s="3"/>
      <c r="DB110" s="3"/>
      <c r="DC110" s="3"/>
    </row>
    <row r="111" spans="4:107" ht="16.2" x14ac:dyDescent="0.3">
      <c r="D111" s="69"/>
      <c r="E111" s="81"/>
      <c r="F111" s="70" t="s">
        <v>201</v>
      </c>
      <c r="G111" s="48"/>
      <c r="H111" s="48">
        <v>500</v>
      </c>
      <c r="I111" s="71"/>
      <c r="M111" s="69"/>
      <c r="N111" s="81"/>
      <c r="O111" s="70"/>
      <c r="P111" s="48"/>
      <c r="Q111" s="48"/>
      <c r="R111" s="71"/>
      <c r="V111"/>
      <c r="W111"/>
      <c r="X111"/>
      <c r="Y111"/>
      <c r="Z111"/>
      <c r="AA111"/>
      <c r="AE111" s="3"/>
      <c r="AF111" s="3"/>
      <c r="AH111" s="3"/>
      <c r="AI111" s="3"/>
      <c r="AJ111" s="3"/>
      <c r="AN111" s="3"/>
      <c r="AO111" s="3"/>
      <c r="AQ111" s="3"/>
      <c r="AR111" s="3"/>
      <c r="AW111" s="3"/>
      <c r="AX111" s="3"/>
      <c r="AZ111" s="3"/>
      <c r="BA111" s="3"/>
      <c r="BF111" s="3"/>
      <c r="BG111" s="3"/>
      <c r="BI111" s="3"/>
      <c r="BJ111" s="3"/>
      <c r="BO111" s="3"/>
      <c r="BP111" s="3"/>
      <c r="BR111" s="3"/>
      <c r="BS111" s="3"/>
      <c r="BX111" s="3"/>
      <c r="BY111" s="3"/>
      <c r="CA111" s="3"/>
      <c r="CB111" s="3"/>
      <c r="CC111" s="3"/>
      <c r="CG111" s="3"/>
      <c r="CH111" s="3"/>
      <c r="CJ111" s="3"/>
      <c r="CK111" s="3"/>
      <c r="CP111" s="3"/>
      <c r="CQ111" s="3"/>
      <c r="CS111" s="3"/>
      <c r="CT111" s="3"/>
      <c r="CY111" s="3"/>
      <c r="CZ111" s="3"/>
      <c r="DB111" s="3"/>
      <c r="DC111" s="3"/>
    </row>
    <row r="112" spans="4:107" ht="16.2" x14ac:dyDescent="0.3">
      <c r="D112" s="69"/>
      <c r="E112" s="83" t="s">
        <v>99</v>
      </c>
      <c r="F112" s="70" t="s">
        <v>202</v>
      </c>
      <c r="G112" s="48">
        <v>502</v>
      </c>
      <c r="H112" s="48"/>
      <c r="I112" s="71"/>
      <c r="M112" s="69"/>
      <c r="N112" s="83"/>
      <c r="O112" s="70"/>
      <c r="P112" s="48"/>
      <c r="Q112" s="48"/>
      <c r="R112" s="71"/>
      <c r="V112"/>
      <c r="W112"/>
      <c r="X112"/>
      <c r="Y112"/>
      <c r="Z112"/>
      <c r="AA112"/>
      <c r="AE112" s="3"/>
      <c r="AF112" s="3"/>
      <c r="AH112" s="3"/>
      <c r="AI112" s="3"/>
      <c r="AJ112" s="3"/>
      <c r="AN112" s="3"/>
      <c r="AO112" s="3"/>
      <c r="AQ112" s="3"/>
      <c r="AR112" s="3"/>
      <c r="AW112" s="3"/>
      <c r="AX112" s="3"/>
      <c r="AZ112" s="3"/>
      <c r="BA112" s="3"/>
      <c r="BF112" s="3"/>
      <c r="BG112" s="3"/>
      <c r="BI112" s="3"/>
      <c r="BJ112" s="3"/>
      <c r="BO112" s="3"/>
      <c r="BP112" s="3"/>
      <c r="BR112" s="3"/>
      <c r="BS112" s="3"/>
      <c r="BX112" s="3"/>
      <c r="BY112" s="3"/>
      <c r="CA112" s="3"/>
      <c r="CB112" s="3"/>
      <c r="CC112" s="3"/>
      <c r="CG112" s="3"/>
      <c r="CH112" s="3"/>
      <c r="CJ112" s="3"/>
      <c r="CK112" s="3"/>
      <c r="CP112" s="3"/>
      <c r="CQ112" s="3"/>
      <c r="CS112" s="3"/>
      <c r="CT112" s="3"/>
      <c r="CY112" s="3"/>
      <c r="CZ112" s="3"/>
      <c r="DB112" s="3"/>
      <c r="DC112" s="3"/>
    </row>
    <row r="113" spans="4:107" ht="16.2" x14ac:dyDescent="0.3">
      <c r="D113" s="69"/>
      <c r="E113" s="81"/>
      <c r="F113" s="70" t="s">
        <v>201</v>
      </c>
      <c r="G113" s="48"/>
      <c r="H113" s="48">
        <v>500</v>
      </c>
      <c r="I113" s="71"/>
      <c r="M113" s="69"/>
      <c r="N113" s="81"/>
      <c r="O113" s="70"/>
      <c r="P113" s="48"/>
      <c r="Q113" s="48"/>
      <c r="R113" s="71"/>
      <c r="V113"/>
      <c r="W113"/>
      <c r="X113"/>
      <c r="Y113"/>
      <c r="Z113"/>
      <c r="AA113"/>
      <c r="AE113" s="3"/>
      <c r="AF113" s="3"/>
      <c r="AH113" s="3"/>
      <c r="AI113" s="3"/>
      <c r="AJ113" s="3"/>
      <c r="AN113" s="3"/>
      <c r="AO113" s="3"/>
      <c r="AQ113" s="3"/>
      <c r="AR113" s="3"/>
      <c r="AW113" s="3"/>
      <c r="AX113" s="3"/>
      <c r="AZ113" s="3"/>
      <c r="BA113" s="3"/>
      <c r="BF113" s="3"/>
      <c r="BG113" s="3"/>
      <c r="BI113" s="3"/>
      <c r="BJ113" s="3"/>
      <c r="BO113" s="3"/>
      <c r="BP113" s="3"/>
      <c r="BR113" s="3"/>
      <c r="BS113" s="3"/>
      <c r="BX113" s="3"/>
      <c r="BY113" s="3"/>
      <c r="CA113" s="3"/>
      <c r="CB113" s="3"/>
      <c r="CC113" s="3"/>
      <c r="CG113" s="3"/>
      <c r="CH113" s="3"/>
      <c r="CJ113" s="3"/>
      <c r="CK113" s="3"/>
      <c r="CP113" s="3"/>
      <c r="CQ113" s="3"/>
      <c r="CS113" s="3"/>
      <c r="CT113" s="3"/>
      <c r="CY113" s="3"/>
      <c r="CZ113" s="3"/>
      <c r="DB113" s="3"/>
      <c r="DC113" s="3"/>
    </row>
    <row r="114" spans="4:107" ht="16.8" thickBot="1" x14ac:dyDescent="0.35">
      <c r="D114" s="69"/>
      <c r="E114" s="81"/>
      <c r="F114" s="70" t="s">
        <v>203</v>
      </c>
      <c r="G114" s="48"/>
      <c r="H114" s="48">
        <v>2</v>
      </c>
      <c r="I114" s="71"/>
      <c r="M114" s="66"/>
      <c r="N114" s="82"/>
      <c r="O114" s="67"/>
      <c r="P114" s="12"/>
      <c r="Q114" s="12"/>
      <c r="R114" s="68"/>
      <c r="V114"/>
      <c r="W114"/>
      <c r="X114"/>
      <c r="Y114"/>
      <c r="Z114"/>
      <c r="AA114"/>
      <c r="AE114" s="3"/>
      <c r="AF114" s="3"/>
      <c r="AH114" s="3"/>
      <c r="AI114" s="3"/>
      <c r="AJ114" s="3"/>
      <c r="AN114" s="3"/>
      <c r="AO114" s="3"/>
      <c r="AQ114" s="3"/>
      <c r="AR114" s="3"/>
      <c r="AW114" s="3"/>
      <c r="AX114" s="3"/>
      <c r="AZ114" s="3"/>
      <c r="BA114" s="3"/>
      <c r="BF114" s="3"/>
      <c r="BG114" s="3"/>
      <c r="BI114" s="3"/>
      <c r="BJ114" s="3"/>
      <c r="BO114" s="3"/>
      <c r="BP114" s="3"/>
      <c r="BR114" s="3"/>
      <c r="BS114" s="3"/>
      <c r="BX114" s="3"/>
      <c r="BY114" s="3"/>
      <c r="CA114" s="3"/>
      <c r="CB114" s="3"/>
      <c r="CC114" s="3"/>
      <c r="CG114" s="3"/>
      <c r="CH114" s="3"/>
      <c r="CJ114" s="3"/>
      <c r="CK114" s="3"/>
      <c r="CP114" s="3"/>
      <c r="CQ114" s="3"/>
      <c r="CS114" s="3"/>
      <c r="CT114" s="3"/>
      <c r="CY114" s="3"/>
      <c r="CZ114" s="3"/>
      <c r="DB114" s="3"/>
      <c r="DC114" s="3"/>
    </row>
    <row r="115" spans="4:107" ht="16.8" thickTop="1" x14ac:dyDescent="0.3">
      <c r="D115" s="69">
        <v>9</v>
      </c>
      <c r="E115" s="81">
        <v>26</v>
      </c>
      <c r="F115" s="70" t="s">
        <v>206</v>
      </c>
      <c r="G115" s="48">
        <v>116</v>
      </c>
      <c r="H115" s="48"/>
      <c r="I115" s="71"/>
      <c r="M115" s="40" t="s">
        <v>14</v>
      </c>
      <c r="N115"/>
      <c r="O115"/>
      <c r="P115"/>
      <c r="Q115"/>
      <c r="R115"/>
      <c r="V115"/>
      <c r="W115"/>
      <c r="X115"/>
      <c r="Y115"/>
      <c r="Z115"/>
      <c r="AA115"/>
      <c r="AE115" s="3"/>
      <c r="AF115" s="3"/>
      <c r="AH115" s="3"/>
      <c r="AI115" s="3"/>
      <c r="AJ115" s="3"/>
      <c r="AN115" s="3"/>
      <c r="AO115" s="3"/>
      <c r="AQ115" s="3"/>
      <c r="AR115" s="3"/>
      <c r="AW115" s="3"/>
      <c r="AX115" s="3"/>
      <c r="AZ115" s="3"/>
      <c r="BA115" s="3"/>
      <c r="BF115" s="3"/>
      <c r="BG115" s="3"/>
      <c r="BI115" s="3"/>
      <c r="BJ115" s="3"/>
      <c r="BO115" s="3"/>
      <c r="BP115" s="3"/>
      <c r="BR115" s="3"/>
      <c r="BS115" s="3"/>
      <c r="BX115" s="3"/>
      <c r="BY115" s="3"/>
      <c r="CA115" s="3"/>
      <c r="CB115" s="3"/>
      <c r="CC115" s="3"/>
      <c r="CG115" s="3"/>
      <c r="CH115" s="3"/>
      <c r="CJ115" s="3"/>
      <c r="CK115" s="3"/>
      <c r="CP115" s="3"/>
      <c r="CQ115" s="3"/>
      <c r="CS115" s="3"/>
      <c r="CT115" s="3"/>
      <c r="CY115" s="3"/>
      <c r="CZ115" s="3"/>
      <c r="DB115" s="3"/>
      <c r="DC115" s="3"/>
    </row>
    <row r="116" spans="4:107" ht="16.2" x14ac:dyDescent="0.3">
      <c r="D116" s="69"/>
      <c r="E116" s="81"/>
      <c r="F116" s="70" t="s">
        <v>207</v>
      </c>
      <c r="G116" s="48"/>
      <c r="H116" s="48">
        <v>116</v>
      </c>
      <c r="I116" s="71"/>
      <c r="M116"/>
      <c r="N116"/>
      <c r="O116"/>
      <c r="P116"/>
      <c r="Q116"/>
      <c r="R116"/>
      <c r="V116"/>
      <c r="W116"/>
      <c r="X116"/>
      <c r="Y116"/>
      <c r="Z116"/>
      <c r="AA116"/>
      <c r="AE116" s="3"/>
      <c r="AF116" s="3"/>
      <c r="AH116" s="3"/>
      <c r="AI116" s="3"/>
      <c r="AJ116" s="3"/>
      <c r="AN116" s="3"/>
      <c r="AO116" s="3"/>
      <c r="AQ116" s="3"/>
      <c r="AR116" s="3"/>
      <c r="AW116" s="3"/>
      <c r="AX116" s="3"/>
      <c r="AZ116" s="3"/>
      <c r="BA116" s="3"/>
      <c r="BF116" s="3"/>
      <c r="BG116" s="3"/>
      <c r="BI116" s="3"/>
      <c r="BJ116" s="3"/>
      <c r="BO116" s="3"/>
      <c r="BP116" s="3"/>
      <c r="BR116" s="3"/>
      <c r="BS116" s="3"/>
      <c r="BX116" s="3"/>
      <c r="BY116" s="3"/>
      <c r="CA116" s="3"/>
      <c r="CB116" s="3"/>
      <c r="CC116" s="3"/>
      <c r="CG116" s="3"/>
      <c r="CH116" s="3"/>
      <c r="CJ116" s="3"/>
      <c r="CK116" s="3"/>
      <c r="CP116" s="3"/>
      <c r="CQ116" s="3"/>
      <c r="CS116" s="3"/>
      <c r="CT116" s="3"/>
      <c r="CY116" s="3"/>
      <c r="CZ116" s="3"/>
      <c r="DB116" s="3"/>
      <c r="DC116" s="3"/>
    </row>
    <row r="117" spans="4:107" ht="16.2" x14ac:dyDescent="0.3">
      <c r="D117" s="69"/>
      <c r="E117" s="83" t="s">
        <v>99</v>
      </c>
      <c r="F117" s="70" t="s">
        <v>208</v>
      </c>
      <c r="G117" s="48">
        <f>70+50</f>
        <v>120</v>
      </c>
      <c r="H117" s="48"/>
      <c r="I117" s="71"/>
      <c r="M117"/>
      <c r="N117"/>
      <c r="O117"/>
      <c r="P117"/>
      <c r="Q117"/>
      <c r="R117"/>
      <c r="V117"/>
      <c r="W117"/>
      <c r="X117"/>
      <c r="Y117"/>
      <c r="Z117"/>
      <c r="AA117"/>
      <c r="AE117" s="3"/>
      <c r="AF117" s="3"/>
      <c r="AH117" s="3"/>
      <c r="AI117" s="3"/>
      <c r="AJ117" s="3"/>
      <c r="AN117" s="3"/>
      <c r="AO117" s="3"/>
      <c r="AQ117" s="3"/>
      <c r="AR117" s="3"/>
      <c r="AW117" s="3"/>
      <c r="AX117" s="3"/>
      <c r="AZ117" s="3"/>
      <c r="BA117" s="3"/>
      <c r="BF117" s="3"/>
      <c r="BG117" s="3"/>
      <c r="BI117" s="3"/>
      <c r="BJ117" s="3"/>
      <c r="BO117" s="3"/>
      <c r="BP117" s="3"/>
      <c r="BR117" s="3"/>
      <c r="BS117" s="3"/>
      <c r="BX117" s="3"/>
      <c r="BY117" s="3"/>
      <c r="CA117" s="3"/>
      <c r="CB117" s="3"/>
      <c r="CC117" s="3"/>
      <c r="CG117" s="3"/>
      <c r="CH117" s="3"/>
      <c r="CJ117" s="3"/>
      <c r="CK117" s="3"/>
      <c r="CP117" s="3"/>
      <c r="CQ117" s="3"/>
      <c r="CS117" s="3"/>
      <c r="CT117" s="3"/>
      <c r="CY117" s="3"/>
      <c r="CZ117" s="3"/>
      <c r="DB117" s="3"/>
      <c r="DC117" s="3"/>
    </row>
    <row r="118" spans="4:107" ht="16.2" x14ac:dyDescent="0.3">
      <c r="D118" s="69"/>
      <c r="E118" s="81"/>
      <c r="F118" s="70" t="s">
        <v>209</v>
      </c>
      <c r="G118" s="48"/>
      <c r="H118" s="48">
        <v>120</v>
      </c>
      <c r="I118" s="71"/>
      <c r="M118"/>
      <c r="N118"/>
      <c r="O118"/>
      <c r="P118"/>
      <c r="Q118"/>
      <c r="R118"/>
      <c r="V118"/>
      <c r="W118"/>
      <c r="X118"/>
      <c r="Y118"/>
      <c r="Z118"/>
      <c r="AA118"/>
      <c r="AE118" s="3"/>
      <c r="AF118" s="3"/>
      <c r="AH118" s="3"/>
      <c r="AI118" s="3"/>
      <c r="AJ118" s="3"/>
      <c r="AN118" s="3"/>
      <c r="AO118" s="3"/>
      <c r="AQ118" s="3"/>
      <c r="AR118" s="3"/>
      <c r="AW118" s="3"/>
      <c r="AX118" s="3"/>
      <c r="AZ118" s="3"/>
      <c r="BA118" s="3"/>
      <c r="BF118" s="3"/>
      <c r="BG118" s="3"/>
      <c r="BI118" s="3"/>
      <c r="BJ118" s="3"/>
      <c r="BO118" s="3"/>
      <c r="BP118" s="3"/>
      <c r="BR118" s="3"/>
      <c r="BS118" s="3"/>
      <c r="BX118" s="3"/>
      <c r="BY118" s="3"/>
      <c r="CA118" s="3"/>
      <c r="CB118" s="3"/>
      <c r="CC118" s="3"/>
      <c r="CG118" s="3"/>
      <c r="CH118" s="3"/>
      <c r="CJ118" s="3"/>
      <c r="CK118" s="3"/>
      <c r="CP118" s="3"/>
      <c r="CQ118" s="3"/>
      <c r="CS118" s="3"/>
      <c r="CT118" s="3"/>
      <c r="CY118" s="3"/>
      <c r="CZ118" s="3"/>
      <c r="DB118" s="3"/>
      <c r="DC118" s="3"/>
    </row>
    <row r="119" spans="4:107" ht="16.2" x14ac:dyDescent="0.3">
      <c r="D119" s="69"/>
      <c r="E119" s="83" t="s">
        <v>99</v>
      </c>
      <c r="F119" s="70" t="s">
        <v>210</v>
      </c>
      <c r="G119" s="48">
        <v>116</v>
      </c>
      <c r="H119" s="48"/>
      <c r="I119" s="71"/>
      <c r="M119"/>
      <c r="N119"/>
      <c r="O119"/>
      <c r="P119"/>
      <c r="Q119"/>
      <c r="R119"/>
      <c r="V119"/>
      <c r="W119"/>
      <c r="X119"/>
      <c r="Y119"/>
      <c r="Z119"/>
      <c r="AA119"/>
      <c r="AE119" s="3"/>
      <c r="AF119" s="3"/>
      <c r="AH119" s="3"/>
      <c r="AI119" s="3"/>
      <c r="AJ119" s="3"/>
      <c r="AN119" s="3"/>
      <c r="AO119" s="3"/>
      <c r="AQ119" s="3"/>
      <c r="AR119" s="3"/>
      <c r="AW119" s="3"/>
      <c r="AX119" s="3"/>
      <c r="AZ119" s="3"/>
      <c r="BA119" s="3"/>
      <c r="BF119" s="3"/>
      <c r="BG119" s="3"/>
      <c r="BI119" s="3"/>
      <c r="BJ119" s="3"/>
      <c r="BO119" s="3"/>
      <c r="BP119" s="3"/>
      <c r="BR119" s="3"/>
      <c r="BS119" s="3"/>
      <c r="BX119" s="3"/>
      <c r="BY119" s="3"/>
      <c r="CA119" s="3"/>
      <c r="CB119" s="3"/>
      <c r="CC119" s="3"/>
      <c r="CG119" s="3"/>
      <c r="CH119" s="3"/>
      <c r="CJ119" s="3"/>
      <c r="CK119" s="3"/>
      <c r="CP119" s="3"/>
      <c r="CQ119" s="3"/>
      <c r="CS119" s="3"/>
      <c r="CT119" s="3"/>
      <c r="CY119" s="3"/>
      <c r="CZ119" s="3"/>
      <c r="DB119" s="3"/>
      <c r="DC119" s="3"/>
    </row>
    <row r="120" spans="4:107" ht="16.2" x14ac:dyDescent="0.3">
      <c r="D120" s="69"/>
      <c r="E120" s="81"/>
      <c r="F120" s="70" t="s">
        <v>211</v>
      </c>
      <c r="G120" s="48">
        <v>120</v>
      </c>
      <c r="H120" s="48"/>
      <c r="I120" s="71"/>
      <c r="M120"/>
      <c r="N120"/>
      <c r="O120"/>
      <c r="P120"/>
      <c r="Q120"/>
      <c r="R120"/>
      <c r="V120"/>
      <c r="W120"/>
      <c r="X120"/>
      <c r="Y120"/>
      <c r="Z120"/>
      <c r="AA120"/>
      <c r="AE120" s="3"/>
      <c r="AF120" s="3"/>
      <c r="AH120" s="3"/>
      <c r="AI120" s="3"/>
      <c r="AJ120" s="3"/>
      <c r="AN120" s="3"/>
      <c r="AO120" s="3"/>
      <c r="AQ120" s="3"/>
      <c r="AR120" s="3"/>
      <c r="AW120" s="3"/>
      <c r="AX120" s="3"/>
      <c r="AZ120" s="3"/>
      <c r="BA120" s="3"/>
      <c r="BF120" s="3"/>
      <c r="BG120" s="3"/>
      <c r="BI120" s="3"/>
      <c r="BJ120" s="3"/>
      <c r="BO120" s="3"/>
      <c r="BP120" s="3"/>
      <c r="BR120" s="3"/>
      <c r="BS120" s="3"/>
      <c r="BX120" s="3"/>
      <c r="BY120" s="3"/>
      <c r="CA120" s="3"/>
      <c r="CB120" s="3"/>
      <c r="CC120" s="3"/>
      <c r="CG120" s="3"/>
      <c r="CH120" s="3"/>
      <c r="CJ120" s="3"/>
      <c r="CK120" s="3"/>
      <c r="CP120" s="3"/>
      <c r="CQ120" s="3"/>
      <c r="CS120" s="3"/>
      <c r="CT120" s="3"/>
      <c r="CY120" s="3"/>
      <c r="CZ120" s="3"/>
      <c r="DB120" s="3"/>
      <c r="DC120" s="3"/>
    </row>
    <row r="121" spans="4:107" ht="16.2" x14ac:dyDescent="0.3">
      <c r="D121" s="69"/>
      <c r="E121" s="81"/>
      <c r="F121" s="70" t="s">
        <v>212</v>
      </c>
      <c r="G121" s="48"/>
      <c r="H121" s="48">
        <v>236</v>
      </c>
      <c r="I121" s="71"/>
      <c r="M121"/>
      <c r="N121"/>
      <c r="O121"/>
      <c r="P121"/>
      <c r="Q121"/>
      <c r="R121"/>
      <c r="V121"/>
      <c r="W121"/>
      <c r="X121"/>
      <c r="Y121"/>
      <c r="Z121"/>
      <c r="AA121"/>
      <c r="AE121" s="3"/>
      <c r="AF121" s="3"/>
      <c r="AH121" s="3"/>
      <c r="AI121" s="3"/>
      <c r="AJ121" s="3"/>
      <c r="AN121" s="3"/>
      <c r="AO121" s="3"/>
      <c r="AQ121" s="3"/>
      <c r="AR121" s="3"/>
      <c r="AW121" s="3"/>
      <c r="AX121" s="3"/>
      <c r="AZ121" s="3"/>
      <c r="BA121" s="3"/>
      <c r="BF121" s="3"/>
      <c r="BG121" s="3"/>
      <c r="BI121" s="3"/>
      <c r="BJ121" s="3"/>
      <c r="BO121" s="3"/>
      <c r="BP121" s="3"/>
      <c r="BR121" s="3"/>
      <c r="BS121" s="3"/>
      <c r="BX121" s="3"/>
      <c r="BY121" s="3"/>
      <c r="CA121" s="3"/>
      <c r="CB121" s="3"/>
      <c r="CC121" s="3"/>
      <c r="CG121" s="3"/>
      <c r="CH121" s="3"/>
      <c r="CJ121" s="3"/>
      <c r="CK121" s="3"/>
      <c r="CP121" s="3"/>
      <c r="CQ121" s="3"/>
      <c r="CS121" s="3"/>
      <c r="CT121" s="3"/>
      <c r="CY121" s="3"/>
      <c r="CZ121" s="3"/>
      <c r="DB121" s="3"/>
      <c r="DC121" s="3"/>
    </row>
    <row r="122" spans="4:107" ht="16.2" x14ac:dyDescent="0.3">
      <c r="D122" s="69">
        <v>9</v>
      </c>
      <c r="E122" s="81">
        <v>28</v>
      </c>
      <c r="F122" s="70" t="s">
        <v>213</v>
      </c>
      <c r="G122" s="48">
        <v>1000</v>
      </c>
      <c r="H122" s="48"/>
      <c r="I122" s="71"/>
      <c r="M122"/>
      <c r="N122"/>
      <c r="O122"/>
      <c r="P122"/>
      <c r="Q122"/>
      <c r="R122"/>
      <c r="V122"/>
      <c r="W122"/>
      <c r="X122"/>
      <c r="Y122"/>
      <c r="Z122"/>
      <c r="AA122"/>
      <c r="AE122" s="3"/>
      <c r="AF122" s="3"/>
      <c r="AH122" s="3"/>
      <c r="AI122" s="3"/>
      <c r="AJ122" s="3"/>
      <c r="AN122" s="3"/>
      <c r="AO122" s="3"/>
      <c r="AQ122" s="3"/>
      <c r="AR122" s="3"/>
      <c r="AW122" s="3"/>
      <c r="AX122" s="3"/>
      <c r="AZ122" s="3"/>
      <c r="BA122" s="3"/>
      <c r="BF122" s="3"/>
      <c r="BG122" s="3"/>
      <c r="BI122" s="3"/>
      <c r="BJ122" s="3"/>
      <c r="BO122" s="3"/>
      <c r="BP122" s="3"/>
      <c r="BR122" s="3"/>
      <c r="BS122" s="3"/>
      <c r="BX122" s="3"/>
      <c r="BY122" s="3"/>
      <c r="CA122" s="3"/>
      <c r="CB122" s="3"/>
      <c r="CC122" s="3"/>
      <c r="CG122" s="3"/>
      <c r="CH122" s="3"/>
      <c r="CJ122" s="3"/>
      <c r="CK122" s="3"/>
      <c r="CP122" s="3"/>
      <c r="CQ122" s="3"/>
      <c r="CS122" s="3"/>
      <c r="CT122" s="3"/>
      <c r="CY122" s="3"/>
      <c r="CZ122" s="3"/>
      <c r="DB122" s="3"/>
      <c r="DC122" s="3"/>
    </row>
    <row r="123" spans="4:107" ht="16.2" x14ac:dyDescent="0.3">
      <c r="D123" s="69"/>
      <c r="E123" s="81"/>
      <c r="F123" s="70" t="s">
        <v>214</v>
      </c>
      <c r="G123" s="48"/>
      <c r="H123" s="48">
        <v>1000</v>
      </c>
      <c r="I123" s="71"/>
      <c r="M123"/>
      <c r="N123"/>
      <c r="O123"/>
      <c r="P123"/>
      <c r="Q123"/>
      <c r="R123"/>
      <c r="V123"/>
      <c r="W123"/>
      <c r="X123"/>
      <c r="Y123"/>
      <c r="Z123"/>
      <c r="AA123"/>
      <c r="AE123" s="3"/>
      <c r="AF123" s="3"/>
      <c r="AH123" s="3"/>
      <c r="AI123" s="3"/>
      <c r="AJ123" s="3"/>
      <c r="AN123" s="3"/>
      <c r="AO123" s="3"/>
      <c r="AQ123" s="3"/>
      <c r="AR123" s="3"/>
      <c r="AW123" s="3"/>
      <c r="AX123" s="3"/>
      <c r="AZ123" s="3"/>
      <c r="BA123" s="3"/>
      <c r="BF123" s="3"/>
      <c r="BG123" s="3"/>
      <c r="BI123" s="3"/>
      <c r="BJ123" s="3"/>
      <c r="BO123" s="3"/>
      <c r="BP123" s="3"/>
      <c r="BR123" s="3"/>
      <c r="BS123" s="3"/>
      <c r="BX123" s="3"/>
      <c r="BY123" s="3"/>
      <c r="CA123" s="3"/>
      <c r="CB123" s="3"/>
      <c r="CC123" s="3"/>
      <c r="CG123" s="3"/>
      <c r="CH123" s="3"/>
      <c r="CJ123" s="3"/>
      <c r="CK123" s="3"/>
      <c r="CP123" s="3"/>
      <c r="CQ123" s="3"/>
      <c r="CS123" s="3"/>
      <c r="CT123" s="3"/>
      <c r="CY123" s="3"/>
      <c r="CZ123" s="3"/>
      <c r="DB123" s="3"/>
      <c r="DC123" s="3"/>
    </row>
    <row r="124" spans="4:107" ht="16.2" x14ac:dyDescent="0.3">
      <c r="D124" s="69"/>
      <c r="E124" s="83" t="s">
        <v>99</v>
      </c>
      <c r="F124" s="70" t="s">
        <v>215</v>
      </c>
      <c r="G124" s="48">
        <v>1000</v>
      </c>
      <c r="H124" s="48"/>
      <c r="I124" s="71"/>
      <c r="M124"/>
      <c r="N124"/>
      <c r="O124"/>
      <c r="P124"/>
      <c r="Q124"/>
      <c r="R124"/>
      <c r="V124"/>
      <c r="W124"/>
      <c r="X124"/>
      <c r="Y124"/>
      <c r="Z124"/>
      <c r="AA124"/>
      <c r="AE124" s="3"/>
      <c r="AF124" s="3"/>
      <c r="AH124" s="3"/>
      <c r="AI124" s="3"/>
      <c r="AJ124" s="3"/>
      <c r="AN124" s="3"/>
      <c r="AO124" s="3"/>
      <c r="AQ124" s="3"/>
      <c r="AR124" s="3"/>
      <c r="AW124" s="3"/>
      <c r="AX124" s="3"/>
      <c r="AZ124" s="3"/>
      <c r="BA124" s="3"/>
      <c r="BF124" s="3"/>
      <c r="BG124" s="3"/>
      <c r="BI124" s="3"/>
      <c r="BJ124" s="3"/>
      <c r="BO124" s="3"/>
      <c r="BP124" s="3"/>
      <c r="BR124" s="3"/>
      <c r="BS124" s="3"/>
      <c r="BX124" s="3"/>
      <c r="BY124" s="3"/>
      <c r="CA124" s="3"/>
      <c r="CB124" s="3"/>
      <c r="CC124" s="3"/>
      <c r="CG124" s="3"/>
      <c r="CH124" s="3"/>
      <c r="CJ124" s="3"/>
      <c r="CK124" s="3"/>
      <c r="CP124" s="3"/>
      <c r="CQ124" s="3"/>
      <c r="CS124" s="3"/>
      <c r="CT124" s="3"/>
      <c r="CY124" s="3"/>
      <c r="CZ124" s="3"/>
      <c r="DB124" s="3"/>
      <c r="DC124" s="3"/>
    </row>
    <row r="125" spans="4:107" ht="16.2" x14ac:dyDescent="0.3">
      <c r="D125" s="69"/>
      <c r="E125" s="81"/>
      <c r="F125" s="70" t="s">
        <v>216</v>
      </c>
      <c r="G125" s="48"/>
      <c r="H125" s="48">
        <v>1000</v>
      </c>
      <c r="I125" s="71"/>
      <c r="M125"/>
      <c r="N125"/>
      <c r="O125"/>
      <c r="P125"/>
      <c r="Q125"/>
      <c r="R125"/>
      <c r="V125"/>
      <c r="W125"/>
      <c r="X125"/>
      <c r="Y125"/>
      <c r="Z125"/>
      <c r="AA125"/>
      <c r="AE125" s="3"/>
      <c r="AF125" s="3"/>
      <c r="AH125" s="3"/>
      <c r="AI125" s="3"/>
      <c r="AJ125" s="3"/>
      <c r="AN125" s="3"/>
      <c r="AO125" s="3"/>
      <c r="AQ125" s="3"/>
      <c r="AR125" s="3"/>
      <c r="AW125" s="3"/>
      <c r="AX125" s="3"/>
      <c r="AZ125" s="3"/>
      <c r="BA125" s="3"/>
      <c r="BF125" s="3"/>
      <c r="BG125" s="3"/>
      <c r="BI125" s="3"/>
      <c r="BJ125" s="3"/>
      <c r="BO125" s="3"/>
      <c r="BP125" s="3"/>
      <c r="BR125" s="3"/>
      <c r="BS125" s="3"/>
      <c r="BX125" s="3"/>
      <c r="BY125" s="3"/>
      <c r="CA125" s="3"/>
      <c r="CB125" s="3"/>
      <c r="CC125" s="3"/>
      <c r="CG125" s="3"/>
      <c r="CH125" s="3"/>
      <c r="CJ125" s="3"/>
      <c r="CK125" s="3"/>
      <c r="CP125" s="3"/>
      <c r="CQ125" s="3"/>
      <c r="CS125" s="3"/>
      <c r="CT125" s="3"/>
      <c r="CY125" s="3"/>
      <c r="CZ125" s="3"/>
      <c r="DB125" s="3"/>
      <c r="DC125" s="3"/>
    </row>
    <row r="126" spans="4:107" ht="16.2" x14ac:dyDescent="0.3">
      <c r="D126" s="69">
        <v>9</v>
      </c>
      <c r="E126" s="81">
        <v>29</v>
      </c>
      <c r="F126" s="70" t="s">
        <v>217</v>
      </c>
      <c r="G126" s="48">
        <v>116</v>
      </c>
      <c r="H126" s="48"/>
      <c r="I126" s="71"/>
      <c r="M126"/>
      <c r="N126"/>
      <c r="O126"/>
      <c r="P126"/>
      <c r="Q126"/>
      <c r="R126"/>
      <c r="V126"/>
      <c r="W126"/>
      <c r="X126"/>
      <c r="Y126"/>
      <c r="Z126"/>
      <c r="AA126"/>
      <c r="AE126" s="3"/>
      <c r="AF126" s="3"/>
      <c r="AH126" s="3"/>
      <c r="AI126" s="3"/>
      <c r="AJ126" s="3"/>
      <c r="AN126" s="3"/>
      <c r="AO126" s="3"/>
      <c r="AQ126" s="3"/>
      <c r="AR126" s="3"/>
      <c r="AW126" s="3"/>
      <c r="AX126" s="3"/>
      <c r="AZ126" s="3"/>
      <c r="BA126" s="3"/>
      <c r="BF126" s="3"/>
      <c r="BG126" s="3"/>
      <c r="BI126" s="3"/>
      <c r="BJ126" s="3"/>
      <c r="BO126" s="3"/>
      <c r="BP126" s="3"/>
      <c r="BR126" s="3"/>
      <c r="BS126" s="3"/>
      <c r="BX126" s="3"/>
      <c r="BY126" s="3"/>
      <c r="CA126" s="3"/>
      <c r="CB126" s="3"/>
      <c r="CC126" s="3"/>
      <c r="CG126" s="3"/>
      <c r="CH126" s="3"/>
      <c r="CJ126" s="3"/>
      <c r="CK126" s="3"/>
      <c r="CP126" s="3"/>
      <c r="CQ126" s="3"/>
      <c r="CS126" s="3"/>
      <c r="CT126" s="3"/>
      <c r="CY126" s="3"/>
      <c r="CZ126" s="3"/>
      <c r="DB126" s="3"/>
      <c r="DC126" s="3"/>
    </row>
    <row r="127" spans="4:107" ht="16.2" x14ac:dyDescent="0.3">
      <c r="D127" s="69"/>
      <c r="E127" s="81"/>
      <c r="F127" s="70" t="s">
        <v>218</v>
      </c>
      <c r="G127" s="48"/>
      <c r="H127" s="48">
        <v>116</v>
      </c>
      <c r="I127" s="71"/>
      <c r="M127"/>
      <c r="N127"/>
      <c r="O127"/>
      <c r="P127"/>
      <c r="Q127"/>
      <c r="R127"/>
      <c r="V127"/>
      <c r="W127"/>
      <c r="X127"/>
      <c r="Y127"/>
      <c r="Z127"/>
      <c r="AA127"/>
      <c r="AE127" s="3"/>
      <c r="AF127" s="3"/>
      <c r="AH127" s="3"/>
      <c r="AI127" s="3"/>
      <c r="AJ127" s="3"/>
      <c r="AN127" s="3"/>
      <c r="AO127" s="3"/>
      <c r="AQ127" s="3"/>
      <c r="AR127" s="3"/>
      <c r="AW127" s="3"/>
      <c r="AX127" s="3"/>
      <c r="AZ127" s="3"/>
      <c r="BA127" s="3"/>
      <c r="BF127" s="3"/>
      <c r="BG127" s="3"/>
      <c r="BI127" s="3"/>
      <c r="BJ127" s="3"/>
      <c r="BO127" s="3"/>
      <c r="BP127" s="3"/>
      <c r="BR127" s="3"/>
      <c r="BS127" s="3"/>
      <c r="BX127" s="3"/>
      <c r="BY127" s="3"/>
      <c r="CA127" s="3"/>
      <c r="CB127" s="3"/>
      <c r="CC127" s="3"/>
      <c r="CG127" s="3"/>
      <c r="CH127" s="3"/>
      <c r="CJ127" s="3"/>
      <c r="CK127" s="3"/>
      <c r="CP127" s="3"/>
      <c r="CQ127" s="3"/>
      <c r="CS127" s="3"/>
      <c r="CT127" s="3"/>
      <c r="CY127" s="3"/>
      <c r="CZ127" s="3"/>
      <c r="DB127" s="3"/>
      <c r="DC127" s="3"/>
    </row>
    <row r="128" spans="4:107" ht="16.2" x14ac:dyDescent="0.3">
      <c r="D128" s="69"/>
      <c r="E128" s="83" t="s">
        <v>99</v>
      </c>
      <c r="F128" s="70" t="s">
        <v>219</v>
      </c>
      <c r="G128" s="48">
        <v>60</v>
      </c>
      <c r="H128" s="48"/>
      <c r="I128" s="71"/>
      <c r="M128"/>
      <c r="N128"/>
      <c r="O128"/>
      <c r="P128"/>
      <c r="Q128"/>
      <c r="R128"/>
      <c r="V128"/>
      <c r="W128"/>
      <c r="X128"/>
      <c r="Y128"/>
      <c r="Z128"/>
      <c r="AA128"/>
      <c r="AE128" s="3"/>
      <c r="AF128" s="3"/>
      <c r="AH128" s="3"/>
      <c r="AI128" s="3"/>
      <c r="AJ128" s="3"/>
      <c r="AN128" s="3"/>
      <c r="AO128" s="3"/>
      <c r="AQ128" s="3"/>
      <c r="AR128" s="3"/>
      <c r="AW128" s="3"/>
      <c r="AX128" s="3"/>
      <c r="AZ128" s="3"/>
      <c r="BA128" s="3"/>
      <c r="BF128" s="3"/>
      <c r="BG128" s="3"/>
      <c r="BI128" s="3"/>
      <c r="BJ128" s="3"/>
      <c r="BO128" s="3"/>
      <c r="BP128" s="3"/>
      <c r="BR128" s="3"/>
      <c r="BS128" s="3"/>
      <c r="BX128" s="3"/>
      <c r="BY128" s="3"/>
      <c r="CA128" s="3"/>
      <c r="CB128" s="3"/>
      <c r="CC128" s="3"/>
      <c r="CG128" s="3"/>
      <c r="CH128" s="3"/>
      <c r="CJ128" s="3"/>
      <c r="CK128" s="3"/>
      <c r="CP128" s="3"/>
      <c r="CQ128" s="3"/>
      <c r="CS128" s="3"/>
      <c r="CT128" s="3"/>
      <c r="CY128" s="3"/>
      <c r="CZ128" s="3"/>
      <c r="DB128" s="3"/>
      <c r="DC128" s="3"/>
    </row>
    <row r="129" spans="4:107" ht="16.2" x14ac:dyDescent="0.3">
      <c r="D129" s="69"/>
      <c r="E129" s="81"/>
      <c r="F129" s="70" t="s">
        <v>220</v>
      </c>
      <c r="G129" s="48">
        <v>15</v>
      </c>
      <c r="H129" s="48"/>
      <c r="I129" s="71"/>
      <c r="M129"/>
      <c r="N129"/>
      <c r="O129"/>
      <c r="P129"/>
      <c r="Q129"/>
      <c r="R129"/>
      <c r="V129"/>
      <c r="W129"/>
      <c r="X129"/>
      <c r="Y129"/>
      <c r="Z129"/>
      <c r="AA129"/>
      <c r="AE129" s="3"/>
      <c r="AF129" s="3"/>
      <c r="AH129" s="3"/>
      <c r="AI129" s="3"/>
      <c r="AJ129" s="3"/>
      <c r="AN129" s="3"/>
      <c r="AO129" s="3"/>
      <c r="AQ129" s="3"/>
      <c r="AR129" s="3"/>
      <c r="AW129" s="3"/>
      <c r="AX129" s="3"/>
      <c r="AZ129" s="3"/>
      <c r="BA129" s="3"/>
      <c r="BF129" s="3"/>
      <c r="BG129" s="3"/>
      <c r="BI129" s="3"/>
      <c r="BJ129" s="3"/>
      <c r="BO129" s="3"/>
      <c r="BP129" s="3"/>
      <c r="BR129" s="3"/>
      <c r="BS129" s="3"/>
      <c r="BX129" s="3"/>
      <c r="BY129" s="3"/>
      <c r="CA129" s="3"/>
      <c r="CB129" s="3"/>
      <c r="CC129" s="3"/>
      <c r="CG129" s="3"/>
      <c r="CH129" s="3"/>
      <c r="CJ129" s="3"/>
      <c r="CK129" s="3"/>
      <c r="CP129" s="3"/>
      <c r="CQ129" s="3"/>
      <c r="CS129" s="3"/>
      <c r="CT129" s="3"/>
      <c r="CY129" s="3"/>
      <c r="CZ129" s="3"/>
      <c r="DB129" s="3"/>
      <c r="DC129" s="3"/>
    </row>
    <row r="130" spans="4:107" ht="16.2" x14ac:dyDescent="0.3">
      <c r="D130" s="69"/>
      <c r="E130" s="81"/>
      <c r="F130" s="70" t="s">
        <v>221</v>
      </c>
      <c r="G130" s="48"/>
      <c r="H130" s="48">
        <v>75</v>
      </c>
      <c r="I130" s="71"/>
      <c r="M130"/>
      <c r="N130"/>
      <c r="O130"/>
      <c r="P130"/>
      <c r="Q130"/>
      <c r="R130"/>
      <c r="V130"/>
      <c r="W130"/>
      <c r="X130"/>
      <c r="Y130"/>
      <c r="Z130"/>
      <c r="AA130"/>
      <c r="AE130" s="3"/>
      <c r="AF130" s="3"/>
      <c r="AH130" s="3"/>
      <c r="AI130" s="3"/>
      <c r="AJ130" s="3"/>
      <c r="AN130" s="3"/>
      <c r="AO130" s="3"/>
      <c r="AQ130" s="3"/>
      <c r="AR130" s="3"/>
      <c r="AW130" s="3"/>
      <c r="AX130" s="3"/>
      <c r="AZ130" s="3"/>
      <c r="BA130" s="3"/>
      <c r="BF130" s="3"/>
      <c r="BG130" s="3"/>
      <c r="BI130" s="3"/>
      <c r="BJ130" s="3"/>
      <c r="BO130" s="3"/>
      <c r="BP130" s="3"/>
      <c r="BR130" s="3"/>
      <c r="BS130" s="3"/>
      <c r="BX130" s="3"/>
      <c r="BY130" s="3"/>
      <c r="CA130" s="3"/>
      <c r="CB130" s="3"/>
      <c r="CC130" s="3"/>
      <c r="CG130" s="3"/>
      <c r="CH130" s="3"/>
      <c r="CJ130" s="3"/>
      <c r="CK130" s="3"/>
      <c r="CP130" s="3"/>
      <c r="CQ130" s="3"/>
      <c r="CS130" s="3"/>
      <c r="CT130" s="3"/>
      <c r="CY130" s="3"/>
      <c r="CZ130" s="3"/>
      <c r="DB130" s="3"/>
      <c r="DC130" s="3"/>
    </row>
    <row r="131" spans="4:107" ht="16.2" x14ac:dyDescent="0.3">
      <c r="D131" s="69"/>
      <c r="E131" s="83" t="s">
        <v>99</v>
      </c>
      <c r="F131" s="70" t="s">
        <v>222</v>
      </c>
      <c r="G131" s="48">
        <v>116</v>
      </c>
      <c r="H131" s="48"/>
      <c r="I131" s="71"/>
      <c r="M131"/>
      <c r="N131"/>
      <c r="O131"/>
      <c r="P131"/>
      <c r="Q131"/>
      <c r="R131"/>
      <c r="V131"/>
      <c r="W131"/>
      <c r="X131"/>
      <c r="Y131"/>
      <c r="Z131"/>
      <c r="AA131"/>
      <c r="AE131" s="3"/>
      <c r="AF131" s="3"/>
      <c r="AH131" s="3"/>
      <c r="AI131" s="3"/>
      <c r="AJ131" s="3"/>
      <c r="AN131" s="3"/>
      <c r="AO131" s="3"/>
      <c r="AQ131" s="3"/>
      <c r="AR131" s="3"/>
      <c r="AW131" s="3"/>
      <c r="AX131" s="3"/>
      <c r="AZ131" s="3"/>
      <c r="BA131" s="3"/>
      <c r="BF131" s="3"/>
      <c r="BG131" s="3"/>
      <c r="BI131" s="3"/>
      <c r="BJ131" s="3"/>
      <c r="BO131" s="3"/>
      <c r="BP131" s="3"/>
      <c r="BR131" s="3"/>
      <c r="BS131" s="3"/>
      <c r="BX131" s="3"/>
      <c r="BY131" s="3"/>
      <c r="CA131" s="3"/>
      <c r="CB131" s="3"/>
      <c r="CC131" s="3"/>
      <c r="CG131" s="3"/>
      <c r="CH131" s="3"/>
      <c r="CJ131" s="3"/>
      <c r="CK131" s="3"/>
      <c r="CP131" s="3"/>
      <c r="CQ131" s="3"/>
      <c r="CS131" s="3"/>
      <c r="CT131" s="3"/>
      <c r="CY131" s="3"/>
      <c r="CZ131" s="3"/>
      <c r="DB131" s="3"/>
      <c r="DC131" s="3"/>
    </row>
    <row r="132" spans="4:107" ht="16.2" x14ac:dyDescent="0.3">
      <c r="D132" s="69"/>
      <c r="E132" s="81"/>
      <c r="F132" s="70" t="s">
        <v>223</v>
      </c>
      <c r="G132" s="48">
        <v>75</v>
      </c>
      <c r="H132" s="48"/>
      <c r="I132" s="71"/>
      <c r="M132"/>
      <c r="N132"/>
      <c r="O132"/>
      <c r="P132"/>
      <c r="Q132"/>
      <c r="R132"/>
      <c r="V132"/>
      <c r="W132"/>
      <c r="X132"/>
      <c r="Y132"/>
      <c r="Z132"/>
      <c r="AA132"/>
      <c r="AE132" s="3"/>
      <c r="AF132" s="3"/>
      <c r="AH132" s="3"/>
      <c r="AI132" s="3"/>
      <c r="AJ132" s="3"/>
      <c r="AN132" s="3"/>
      <c r="AO132" s="3"/>
      <c r="AQ132" s="3"/>
      <c r="AR132" s="3"/>
      <c r="AW132" s="3"/>
      <c r="AX132" s="3"/>
      <c r="AZ132" s="3"/>
      <c r="BA132" s="3"/>
      <c r="BF132" s="3"/>
      <c r="BG132" s="3"/>
      <c r="BI132" s="3"/>
      <c r="BJ132" s="3"/>
      <c r="BO132" s="3"/>
      <c r="BP132" s="3"/>
      <c r="BR132" s="3"/>
      <c r="BS132" s="3"/>
      <c r="BX132" s="3"/>
      <c r="BY132" s="3"/>
      <c r="CA132" s="3"/>
      <c r="CB132" s="3"/>
      <c r="CC132" s="3"/>
      <c r="CG132" s="3"/>
      <c r="CH132" s="3"/>
      <c r="CJ132" s="3"/>
      <c r="CK132" s="3"/>
      <c r="CP132" s="3"/>
      <c r="CQ132" s="3"/>
      <c r="CS132" s="3"/>
      <c r="CT132" s="3"/>
      <c r="CY132" s="3"/>
      <c r="CZ132" s="3"/>
      <c r="DB132" s="3"/>
      <c r="DC132" s="3"/>
    </row>
    <row r="133" spans="4:107" ht="16.2" x14ac:dyDescent="0.3">
      <c r="D133" s="69"/>
      <c r="E133" s="81"/>
      <c r="F133" s="70" t="s">
        <v>224</v>
      </c>
      <c r="G133" s="48"/>
      <c r="H133" s="48">
        <v>191</v>
      </c>
      <c r="I133" s="71"/>
      <c r="M133"/>
      <c r="N133"/>
      <c r="O133"/>
      <c r="P133"/>
      <c r="Q133"/>
      <c r="R133"/>
      <c r="V133"/>
      <c r="W133"/>
      <c r="X133"/>
      <c r="Y133"/>
      <c r="Z133"/>
      <c r="AA133"/>
      <c r="AE133" s="3"/>
      <c r="AF133" s="3"/>
      <c r="AH133" s="3"/>
      <c r="AI133" s="3"/>
      <c r="AJ133" s="3"/>
      <c r="AN133" s="3"/>
      <c r="AO133" s="3"/>
      <c r="AQ133" s="3"/>
      <c r="AR133" s="3"/>
      <c r="AW133" s="3"/>
      <c r="AX133" s="3"/>
      <c r="AZ133" s="3"/>
      <c r="BA133" s="3"/>
      <c r="BF133" s="3"/>
      <c r="BG133" s="3"/>
      <c r="BI133" s="3"/>
      <c r="BJ133" s="3"/>
      <c r="BO133" s="3"/>
      <c r="BP133" s="3"/>
      <c r="BR133" s="3"/>
      <c r="BS133" s="3"/>
      <c r="BX133" s="3"/>
      <c r="BY133" s="3"/>
      <c r="CA133" s="3"/>
      <c r="CB133" s="3"/>
      <c r="CC133" s="3"/>
      <c r="CG133" s="3"/>
      <c r="CH133" s="3"/>
      <c r="CJ133" s="3"/>
      <c r="CK133" s="3"/>
      <c r="CP133" s="3"/>
      <c r="CQ133" s="3"/>
      <c r="CS133" s="3"/>
      <c r="CT133" s="3"/>
      <c r="CY133" s="3"/>
      <c r="CZ133" s="3"/>
      <c r="DB133" s="3"/>
      <c r="DC133" s="3"/>
    </row>
    <row r="134" spans="4:107" ht="16.2" x14ac:dyDescent="0.3">
      <c r="D134" s="69">
        <v>9</v>
      </c>
      <c r="E134" s="81">
        <v>30</v>
      </c>
      <c r="F134" s="70" t="s">
        <v>81</v>
      </c>
      <c r="G134" s="48">
        <v>222</v>
      </c>
      <c r="H134" s="48"/>
      <c r="I134" s="71"/>
      <c r="M134"/>
      <c r="N134"/>
      <c r="O134"/>
      <c r="P134"/>
      <c r="Q134"/>
      <c r="R134"/>
      <c r="V134"/>
      <c r="W134"/>
      <c r="X134"/>
      <c r="Y134"/>
      <c r="Z134"/>
      <c r="AA134"/>
      <c r="AE134" s="3"/>
      <c r="AF134" s="3"/>
      <c r="AH134" s="3"/>
      <c r="AI134" s="3"/>
      <c r="AJ134" s="3"/>
      <c r="AN134" s="3"/>
      <c r="AO134" s="3"/>
      <c r="AQ134" s="3"/>
      <c r="AR134" s="3"/>
      <c r="AW134" s="3"/>
      <c r="AX134" s="3"/>
      <c r="AZ134" s="3"/>
      <c r="BA134" s="3"/>
      <c r="BF134" s="3"/>
      <c r="BG134" s="3"/>
      <c r="BI134" s="3"/>
      <c r="BJ134" s="3"/>
      <c r="BO134" s="3"/>
      <c r="BP134" s="3"/>
      <c r="BR134" s="3"/>
      <c r="BS134" s="3"/>
      <c r="BX134" s="3"/>
      <c r="BY134" s="3"/>
      <c r="CA134" s="3"/>
      <c r="CB134" s="3"/>
      <c r="CC134" s="3"/>
      <c r="CG134" s="3"/>
      <c r="CH134" s="3"/>
      <c r="CJ134" s="3"/>
      <c r="CK134" s="3"/>
      <c r="CP134" s="3"/>
      <c r="CQ134" s="3"/>
      <c r="CS134" s="3"/>
      <c r="CT134" s="3"/>
      <c r="CY134" s="3"/>
      <c r="CZ134" s="3"/>
      <c r="DB134" s="3"/>
      <c r="DC134" s="3"/>
    </row>
    <row r="135" spans="4:107" ht="16.2" x14ac:dyDescent="0.3">
      <c r="D135" s="69"/>
      <c r="E135" s="81"/>
      <c r="F135" s="70" t="s">
        <v>225</v>
      </c>
      <c r="G135" s="48"/>
      <c r="H135" s="48">
        <v>222</v>
      </c>
      <c r="I135" s="71"/>
      <c r="M135"/>
      <c r="N135"/>
      <c r="O135"/>
      <c r="P135"/>
      <c r="Q135"/>
      <c r="R135"/>
      <c r="V135"/>
      <c r="W135"/>
      <c r="X135"/>
      <c r="Y135"/>
      <c r="Z135"/>
      <c r="AA135"/>
      <c r="AE135" s="3"/>
      <c r="AF135" s="3"/>
      <c r="AH135" s="3"/>
      <c r="AI135" s="3"/>
      <c r="AJ135" s="3"/>
      <c r="AN135" s="3"/>
      <c r="AO135" s="3"/>
      <c r="AQ135" s="3"/>
      <c r="AR135" s="3"/>
      <c r="AW135" s="3"/>
      <c r="AX135" s="3"/>
      <c r="AZ135" s="3"/>
      <c r="BA135" s="3"/>
      <c r="BF135" s="3"/>
      <c r="BG135" s="3"/>
      <c r="BI135" s="3"/>
      <c r="BJ135" s="3"/>
      <c r="BO135" s="3"/>
      <c r="BP135" s="3"/>
      <c r="BR135" s="3"/>
      <c r="BS135" s="3"/>
      <c r="BX135" s="3"/>
      <c r="BY135" s="3"/>
      <c r="CA135" s="3"/>
      <c r="CB135" s="3"/>
      <c r="CC135" s="3"/>
      <c r="CG135" s="3"/>
      <c r="CH135" s="3"/>
      <c r="CJ135" s="3"/>
      <c r="CK135" s="3"/>
      <c r="CP135" s="3"/>
      <c r="CQ135" s="3"/>
      <c r="CS135" s="3"/>
      <c r="CT135" s="3"/>
      <c r="CY135" s="3"/>
      <c r="CZ135" s="3"/>
      <c r="DB135" s="3"/>
      <c r="DC135" s="3"/>
    </row>
    <row r="136" spans="4:107" ht="16.2" x14ac:dyDescent="0.3">
      <c r="D136" s="69"/>
      <c r="E136" s="83" t="s">
        <v>99</v>
      </c>
      <c r="F136" s="70" t="s">
        <v>226</v>
      </c>
      <c r="G136" s="48">
        <v>580</v>
      </c>
      <c r="H136" s="48"/>
      <c r="I136" s="71"/>
      <c r="M136"/>
      <c r="N136"/>
      <c r="O136"/>
      <c r="P136"/>
      <c r="Q136"/>
      <c r="R136"/>
      <c r="V136"/>
      <c r="W136"/>
      <c r="X136"/>
      <c r="Y136"/>
      <c r="Z136"/>
      <c r="AA136"/>
      <c r="AE136" s="3"/>
      <c r="AF136" s="3"/>
      <c r="AH136" s="3"/>
      <c r="AI136" s="3"/>
      <c r="AJ136" s="3"/>
      <c r="AN136" s="3"/>
      <c r="AO136" s="3"/>
      <c r="AQ136" s="3"/>
      <c r="AR136" s="3"/>
      <c r="AW136" s="3"/>
      <c r="AX136" s="3"/>
      <c r="AZ136" s="3"/>
      <c r="BA136" s="3"/>
      <c r="BF136" s="3"/>
      <c r="BG136" s="3"/>
      <c r="BI136" s="3"/>
      <c r="BJ136" s="3"/>
      <c r="BO136" s="3"/>
      <c r="BP136" s="3"/>
      <c r="BR136" s="3"/>
      <c r="BS136" s="3"/>
      <c r="BX136" s="3"/>
      <c r="BY136" s="3"/>
      <c r="CA136" s="3"/>
      <c r="CB136" s="3"/>
      <c r="CC136" s="3"/>
      <c r="CG136" s="3"/>
      <c r="CH136" s="3"/>
      <c r="CJ136" s="3"/>
      <c r="CK136" s="3"/>
      <c r="CP136" s="3"/>
      <c r="CQ136" s="3"/>
      <c r="CS136" s="3"/>
      <c r="CT136" s="3"/>
      <c r="CY136" s="3"/>
      <c r="CZ136" s="3"/>
      <c r="DB136" s="3"/>
      <c r="DC136" s="3"/>
    </row>
    <row r="137" spans="4:107" ht="16.2" x14ac:dyDescent="0.3">
      <c r="D137" s="69"/>
      <c r="E137" s="81"/>
      <c r="F137" s="70" t="s">
        <v>227</v>
      </c>
      <c r="G137" s="48"/>
      <c r="H137" s="48">
        <v>580</v>
      </c>
      <c r="I137" s="71"/>
      <c r="M137"/>
      <c r="N137"/>
      <c r="O137"/>
      <c r="P137"/>
      <c r="Q137"/>
      <c r="R137"/>
      <c r="V137"/>
      <c r="W137"/>
      <c r="X137"/>
      <c r="Y137"/>
      <c r="Z137"/>
      <c r="AA137"/>
      <c r="AE137" s="3"/>
      <c r="AF137" s="3"/>
      <c r="AH137" s="3"/>
      <c r="AI137" s="3"/>
      <c r="AJ137" s="3"/>
      <c r="AN137" s="3"/>
      <c r="AO137" s="3"/>
      <c r="AQ137" s="3"/>
      <c r="AR137" s="3"/>
      <c r="AW137" s="3"/>
      <c r="AX137" s="3"/>
      <c r="AZ137" s="3"/>
      <c r="BA137" s="3"/>
      <c r="BF137" s="3"/>
      <c r="BG137" s="3"/>
      <c r="BI137" s="3"/>
      <c r="BJ137" s="3"/>
      <c r="BO137" s="3"/>
      <c r="BP137" s="3"/>
      <c r="BR137" s="3"/>
      <c r="BS137" s="3"/>
      <c r="BX137" s="3"/>
      <c r="BY137" s="3"/>
      <c r="CA137" s="3"/>
      <c r="CB137" s="3"/>
      <c r="CC137" s="3"/>
      <c r="CG137" s="3"/>
      <c r="CH137" s="3"/>
      <c r="CJ137" s="3"/>
      <c r="CK137" s="3"/>
      <c r="CP137" s="3"/>
      <c r="CQ137" s="3"/>
      <c r="CS137" s="3"/>
      <c r="CT137" s="3"/>
      <c r="CY137" s="3"/>
      <c r="CZ137" s="3"/>
      <c r="DB137" s="3"/>
      <c r="DC137" s="3"/>
    </row>
    <row r="138" spans="4:107" ht="16.2" x14ac:dyDescent="0.3">
      <c r="D138" s="69"/>
      <c r="E138" s="83" t="s">
        <v>99</v>
      </c>
      <c r="F138" s="77" t="s">
        <v>235</v>
      </c>
      <c r="G138" s="48">
        <v>2125</v>
      </c>
      <c r="H138" s="48"/>
      <c r="I138" s="71"/>
      <c r="M138"/>
      <c r="N138"/>
      <c r="O138"/>
      <c r="P138"/>
      <c r="Q138"/>
      <c r="R138"/>
      <c r="V138"/>
      <c r="W138"/>
      <c r="X138"/>
      <c r="Y138"/>
      <c r="Z138"/>
      <c r="AA138"/>
      <c r="AE138" s="3"/>
      <c r="AF138" s="3"/>
      <c r="AH138" s="3"/>
      <c r="AI138" s="3"/>
      <c r="AJ138" s="3"/>
      <c r="AN138" s="3"/>
      <c r="AO138" s="3"/>
      <c r="AQ138" s="3"/>
      <c r="AR138" s="3"/>
      <c r="AW138" s="3"/>
      <c r="AX138" s="3"/>
      <c r="AZ138" s="3"/>
      <c r="BA138" s="3"/>
      <c r="BF138" s="3"/>
      <c r="BG138" s="3"/>
      <c r="BI138" s="3"/>
      <c r="BJ138" s="3"/>
      <c r="BO138" s="3"/>
      <c r="BP138" s="3"/>
      <c r="BR138" s="3"/>
      <c r="BS138" s="3"/>
      <c r="BX138" s="3"/>
      <c r="BY138" s="3"/>
      <c r="CA138" s="3"/>
      <c r="CB138" s="3"/>
      <c r="CC138" s="3"/>
      <c r="CG138" s="3"/>
      <c r="CH138" s="3"/>
      <c r="CJ138" s="3"/>
      <c r="CK138" s="3"/>
      <c r="CP138" s="3"/>
      <c r="CQ138" s="3"/>
      <c r="CS138" s="3"/>
      <c r="CT138" s="3"/>
      <c r="CY138" s="3"/>
      <c r="CZ138" s="3"/>
      <c r="DB138" s="3"/>
      <c r="DC138" s="3"/>
    </row>
    <row r="139" spans="4:107" ht="16.2" x14ac:dyDescent="0.3">
      <c r="D139" s="69"/>
      <c r="E139" s="81"/>
      <c r="F139" s="77" t="s">
        <v>229</v>
      </c>
      <c r="G139" s="48"/>
      <c r="H139" s="48">
        <v>685</v>
      </c>
      <c r="I139" s="71"/>
      <c r="M139"/>
      <c r="N139"/>
      <c r="O139"/>
      <c r="P139"/>
      <c r="Q139"/>
      <c r="R139"/>
      <c r="V139"/>
      <c r="W139"/>
      <c r="X139"/>
      <c r="Y139"/>
      <c r="Z139"/>
      <c r="AA139"/>
      <c r="AE139" s="3"/>
      <c r="AF139" s="3"/>
      <c r="AH139" s="3"/>
      <c r="AI139" s="3"/>
      <c r="AJ139" s="3"/>
      <c r="AN139" s="3"/>
      <c r="AO139" s="3"/>
      <c r="AQ139" s="3"/>
      <c r="AR139" s="3"/>
      <c r="AW139" s="3"/>
      <c r="AX139" s="3"/>
      <c r="AZ139" s="3"/>
      <c r="BA139" s="3"/>
      <c r="BF139" s="3"/>
      <c r="BG139" s="3"/>
      <c r="BI139" s="3"/>
      <c r="BJ139" s="3"/>
      <c r="BO139" s="3"/>
      <c r="BP139" s="3"/>
      <c r="BR139" s="3"/>
      <c r="BS139" s="3"/>
      <c r="BX139" s="3"/>
      <c r="BY139" s="3"/>
      <c r="CA139" s="3"/>
      <c r="CB139" s="3"/>
      <c r="CC139" s="3"/>
      <c r="CG139" s="3"/>
      <c r="CH139" s="3"/>
      <c r="CJ139" s="3"/>
      <c r="CK139" s="3"/>
      <c r="CP139" s="3"/>
      <c r="CQ139" s="3"/>
      <c r="CS139" s="3"/>
      <c r="CT139" s="3"/>
      <c r="CY139" s="3"/>
      <c r="CZ139" s="3"/>
      <c r="DB139" s="3"/>
      <c r="DC139" s="3"/>
    </row>
    <row r="140" spans="4:107" ht="16.2" x14ac:dyDescent="0.3">
      <c r="D140" s="69"/>
      <c r="E140" s="81"/>
      <c r="F140" s="77" t="s">
        <v>230</v>
      </c>
      <c r="G140" s="48"/>
      <c r="H140" s="78">
        <v>1160</v>
      </c>
      <c r="I140" s="71"/>
      <c r="M140"/>
      <c r="N140"/>
      <c r="O140"/>
      <c r="P140"/>
      <c r="Q140"/>
      <c r="R140"/>
      <c r="W140" s="40"/>
      <c r="Y140" s="3"/>
      <c r="Z140" s="3"/>
      <c r="AA140" s="3"/>
      <c r="AE140" s="3"/>
      <c r="AF140" s="3"/>
      <c r="AH140" s="3"/>
      <c r="AI140" s="3"/>
      <c r="AJ140" s="3"/>
      <c r="AN140" s="3"/>
      <c r="AO140" s="3"/>
      <c r="AQ140" s="3"/>
      <c r="AR140" s="3"/>
      <c r="AW140" s="3"/>
      <c r="AX140" s="3"/>
      <c r="AZ140" s="3"/>
      <c r="BA140" s="3"/>
      <c r="BF140" s="3"/>
      <c r="BG140" s="3"/>
      <c r="BI140" s="3"/>
      <c r="BJ140" s="3"/>
      <c r="BO140" s="3"/>
      <c r="BP140" s="3"/>
      <c r="BR140" s="3"/>
      <c r="BS140" s="3"/>
      <c r="BX140" s="3"/>
      <c r="BY140" s="3"/>
      <c r="CA140" s="3"/>
      <c r="CB140" s="3"/>
      <c r="CC140" s="3"/>
      <c r="CG140" s="3"/>
      <c r="CH140" s="3"/>
      <c r="CJ140" s="3"/>
      <c r="CK140" s="3"/>
      <c r="CP140" s="3"/>
      <c r="CQ140" s="3"/>
      <c r="CS140" s="3"/>
      <c r="CT140" s="3"/>
      <c r="CY140" s="3"/>
      <c r="CZ140" s="3"/>
      <c r="DB140" s="3"/>
      <c r="DC140" s="3"/>
    </row>
    <row r="141" spans="4:107" ht="16.2" x14ac:dyDescent="0.3">
      <c r="D141" s="69"/>
      <c r="E141" s="81"/>
      <c r="F141" s="77" t="s">
        <v>231</v>
      </c>
      <c r="G141" s="48"/>
      <c r="H141" s="78">
        <v>48</v>
      </c>
      <c r="I141" s="71"/>
      <c r="M141"/>
      <c r="N141"/>
      <c r="O141"/>
      <c r="P141"/>
      <c r="Q141"/>
      <c r="R141"/>
      <c r="V141" s="3"/>
      <c r="W141" s="40"/>
      <c r="Y141" s="3"/>
      <c r="Z141" s="3"/>
      <c r="AA141" s="3"/>
      <c r="AE141" s="3"/>
      <c r="AF141" s="3"/>
      <c r="AH141" s="3"/>
      <c r="AI141" s="3"/>
      <c r="AJ141" s="3"/>
      <c r="AN141" s="3"/>
      <c r="AO141" s="3"/>
      <c r="AQ141" s="3"/>
      <c r="AR141" s="3"/>
      <c r="AW141" s="3"/>
      <c r="AX141" s="3"/>
      <c r="AZ141" s="3"/>
      <c r="BA141" s="3"/>
      <c r="BF141" s="3"/>
      <c r="BG141" s="3"/>
      <c r="BI141" s="3"/>
      <c r="BJ141" s="3"/>
      <c r="BO141" s="3"/>
      <c r="BP141" s="3"/>
      <c r="BR141" s="3"/>
      <c r="BS141" s="3"/>
      <c r="BX141" s="3"/>
      <c r="BY141" s="3"/>
      <c r="CA141" s="3"/>
      <c r="CB141" s="3"/>
      <c r="CC141" s="3"/>
      <c r="CG141" s="3"/>
      <c r="CH141" s="3"/>
      <c r="CJ141" s="3"/>
      <c r="CK141" s="3"/>
      <c r="CP141" s="3"/>
      <c r="CQ141" s="3"/>
      <c r="CS141" s="3"/>
      <c r="CT141" s="3"/>
      <c r="CY141" s="3"/>
      <c r="CZ141" s="3"/>
      <c r="DB141" s="3"/>
      <c r="DC141" s="3"/>
    </row>
    <row r="142" spans="4:107" ht="16.2" x14ac:dyDescent="0.3">
      <c r="D142" s="69"/>
      <c r="E142" s="81"/>
      <c r="F142" s="77" t="s">
        <v>232</v>
      </c>
      <c r="G142" s="48"/>
      <c r="H142" s="78">
        <v>53</v>
      </c>
      <c r="I142" s="71"/>
      <c r="M142"/>
      <c r="N142"/>
      <c r="O142"/>
      <c r="P142"/>
      <c r="Q142"/>
      <c r="R142"/>
      <c r="V142" s="3"/>
      <c r="W142" s="40"/>
      <c r="Y142" s="3"/>
      <c r="Z142" s="3"/>
      <c r="AA142" s="3"/>
      <c r="AE142" s="3"/>
      <c r="AF142" s="3"/>
      <c r="AH142" s="3"/>
      <c r="AI142" s="3"/>
      <c r="AJ142" s="3"/>
      <c r="AN142" s="3"/>
      <c r="AO142" s="3"/>
      <c r="AQ142" s="3"/>
      <c r="AR142" s="3"/>
      <c r="AW142" s="3"/>
      <c r="AX142" s="3"/>
      <c r="AZ142" s="3"/>
      <c r="BA142" s="3"/>
      <c r="BF142" s="3"/>
      <c r="BG142" s="3"/>
      <c r="BI142" s="3"/>
      <c r="BJ142" s="3"/>
      <c r="BO142" s="3"/>
      <c r="BP142" s="3"/>
      <c r="BR142" s="3"/>
      <c r="BS142" s="3"/>
      <c r="BX142" s="3"/>
      <c r="BY142" s="3"/>
      <c r="CA142" s="3"/>
      <c r="CB142" s="3"/>
      <c r="CC142" s="3"/>
      <c r="CG142" s="3"/>
      <c r="CH142" s="3"/>
      <c r="CJ142" s="3"/>
      <c r="CK142" s="3"/>
      <c r="CP142" s="3"/>
      <c r="CQ142" s="3"/>
      <c r="CS142" s="3"/>
      <c r="CT142" s="3"/>
      <c r="CY142" s="3"/>
      <c r="CZ142" s="3"/>
      <c r="DB142" s="3"/>
      <c r="DC142" s="3"/>
    </row>
    <row r="143" spans="4:107" ht="16.2" x14ac:dyDescent="0.3">
      <c r="D143" s="69"/>
      <c r="E143" s="81"/>
      <c r="F143" s="77" t="s">
        <v>233</v>
      </c>
      <c r="G143" s="48"/>
      <c r="H143" s="78">
        <v>2</v>
      </c>
      <c r="I143" s="71"/>
      <c r="M143"/>
      <c r="N143"/>
      <c r="O143"/>
      <c r="P143"/>
      <c r="Q143"/>
      <c r="R143"/>
      <c r="V143" s="3"/>
      <c r="W143" s="40"/>
      <c r="Y143" s="3"/>
      <c r="Z143" s="3"/>
      <c r="AA143" s="3"/>
      <c r="AE143" s="3"/>
      <c r="AF143" s="3"/>
      <c r="AH143" s="3"/>
      <c r="AI143" s="3"/>
      <c r="AJ143" s="3"/>
      <c r="AN143" s="3"/>
      <c r="AO143" s="3"/>
      <c r="AQ143" s="3"/>
      <c r="AR143" s="3"/>
      <c r="AW143" s="3"/>
      <c r="AX143" s="3"/>
      <c r="AZ143" s="3"/>
      <c r="BA143" s="3"/>
      <c r="BF143" s="3"/>
      <c r="BG143" s="3"/>
      <c r="BI143" s="3"/>
      <c r="BJ143" s="3"/>
      <c r="BO143" s="3"/>
      <c r="BP143" s="3"/>
      <c r="BR143" s="3"/>
      <c r="BS143" s="3"/>
      <c r="BX143" s="3"/>
      <c r="BY143" s="3"/>
      <c r="CA143" s="3"/>
      <c r="CB143" s="3"/>
      <c r="CC143" s="3"/>
      <c r="CG143" s="3"/>
      <c r="CH143" s="3"/>
      <c r="CJ143" s="3"/>
      <c r="CK143" s="3"/>
      <c r="CP143" s="3"/>
      <c r="CQ143" s="3"/>
      <c r="CS143" s="3"/>
      <c r="CT143" s="3"/>
      <c r="CY143" s="3"/>
      <c r="CZ143" s="3"/>
      <c r="DB143" s="3"/>
      <c r="DC143" s="3"/>
    </row>
    <row r="144" spans="4:107" ht="16.2" x14ac:dyDescent="0.3">
      <c r="D144" s="69"/>
      <c r="E144" s="81"/>
      <c r="F144" s="77" t="s">
        <v>234</v>
      </c>
      <c r="G144" s="48"/>
      <c r="H144" s="78">
        <v>177</v>
      </c>
      <c r="I144" s="71"/>
      <c r="M144"/>
      <c r="N144"/>
      <c r="O144"/>
      <c r="P144"/>
      <c r="Q144"/>
      <c r="R144"/>
      <c r="V144" s="3"/>
      <c r="W144" s="40"/>
      <c r="Y144" s="3"/>
      <c r="Z144" s="3"/>
      <c r="AA144" s="3"/>
      <c r="AE144" s="3"/>
      <c r="AF144" s="3"/>
      <c r="AH144" s="3"/>
      <c r="AI144" s="3"/>
      <c r="AJ144" s="3"/>
      <c r="AN144" s="3"/>
      <c r="AO144" s="3"/>
      <c r="AQ144" s="3"/>
      <c r="AR144" s="3"/>
      <c r="AW144" s="3"/>
      <c r="AX144" s="3"/>
      <c r="AZ144" s="3"/>
      <c r="BA144" s="3"/>
      <c r="BF144" s="3"/>
      <c r="BG144" s="3"/>
      <c r="BI144" s="3"/>
      <c r="BJ144" s="3"/>
      <c r="BO144" s="3"/>
      <c r="BP144" s="3"/>
      <c r="BR144" s="3"/>
      <c r="BS144" s="3"/>
      <c r="BX144" s="3"/>
      <c r="BY144" s="3"/>
      <c r="CA144" s="3"/>
      <c r="CB144" s="3"/>
      <c r="CC144" s="3"/>
      <c r="CG144" s="3"/>
      <c r="CH144" s="3"/>
      <c r="CJ144" s="3"/>
      <c r="CK144" s="3"/>
      <c r="CP144" s="3"/>
      <c r="CQ144" s="3"/>
      <c r="CS144" s="3"/>
      <c r="CT144" s="3"/>
      <c r="CY144" s="3"/>
      <c r="CZ144" s="3"/>
      <c r="DB144" s="3"/>
      <c r="DC144" s="3"/>
    </row>
    <row r="145" spans="4:107" ht="16.2" x14ac:dyDescent="0.3">
      <c r="D145" s="69"/>
      <c r="E145" s="83" t="s">
        <v>99</v>
      </c>
      <c r="F145" s="70" t="s">
        <v>236</v>
      </c>
      <c r="G145" s="48">
        <v>1200</v>
      </c>
      <c r="H145" s="48"/>
      <c r="I145" s="71"/>
      <c r="M145"/>
      <c r="N145"/>
      <c r="O145"/>
      <c r="P145"/>
      <c r="Q145"/>
      <c r="R145"/>
      <c r="V145" s="3"/>
      <c r="W145" s="40"/>
      <c r="Y145" s="3"/>
      <c r="Z145" s="3"/>
      <c r="AA145" s="3"/>
      <c r="AE145" s="3"/>
      <c r="AF145" s="3"/>
      <c r="AH145" s="3"/>
      <c r="AI145" s="3"/>
      <c r="AJ145" s="3"/>
      <c r="AN145" s="3"/>
      <c r="AO145" s="3"/>
      <c r="AQ145" s="3"/>
      <c r="AR145" s="3"/>
      <c r="AW145" s="3"/>
      <c r="AX145" s="3"/>
      <c r="AZ145" s="3"/>
      <c r="BA145" s="3"/>
      <c r="BF145" s="3"/>
      <c r="BG145" s="3"/>
      <c r="BI145" s="3"/>
      <c r="BJ145" s="3"/>
      <c r="BO145" s="3"/>
      <c r="BP145" s="3"/>
      <c r="BR145" s="3"/>
      <c r="BS145" s="3"/>
      <c r="BX145" s="3"/>
      <c r="BY145" s="3"/>
      <c r="CA145" s="3"/>
      <c r="CB145" s="3"/>
      <c r="CC145" s="3"/>
      <c r="CG145" s="3"/>
      <c r="CH145" s="3"/>
      <c r="CJ145" s="3"/>
      <c r="CK145" s="3"/>
      <c r="CP145" s="3"/>
      <c r="CQ145" s="3"/>
      <c r="CS145" s="3"/>
      <c r="CT145" s="3"/>
      <c r="CY145" s="3"/>
      <c r="CZ145" s="3"/>
      <c r="DB145" s="3"/>
      <c r="DC145" s="3"/>
    </row>
    <row r="146" spans="4:107" ht="16.2" x14ac:dyDescent="0.3">
      <c r="D146" s="69"/>
      <c r="E146" s="81"/>
      <c r="F146" s="70" t="s">
        <v>237</v>
      </c>
      <c r="G146" s="48">
        <v>580</v>
      </c>
      <c r="H146" s="48"/>
      <c r="I146" s="71"/>
      <c r="M146"/>
      <c r="N146"/>
      <c r="O146"/>
      <c r="P146"/>
      <c r="Q146"/>
      <c r="R146"/>
      <c r="V146" s="3"/>
      <c r="W146" s="40"/>
      <c r="Y146" s="3"/>
      <c r="Z146" s="3"/>
      <c r="AA146" s="3"/>
      <c r="AE146" s="3"/>
      <c r="AF146" s="3"/>
      <c r="AH146" s="3"/>
      <c r="AI146" s="3"/>
      <c r="AJ146" s="3"/>
      <c r="AN146" s="3"/>
      <c r="AO146" s="3"/>
      <c r="AQ146" s="3"/>
      <c r="AR146" s="3"/>
      <c r="AW146" s="3"/>
      <c r="AX146" s="3"/>
      <c r="AZ146" s="3"/>
      <c r="BA146" s="3"/>
      <c r="BF146" s="3"/>
      <c r="BG146" s="3"/>
      <c r="BI146" s="3"/>
      <c r="BJ146" s="3"/>
      <c r="BO146" s="3"/>
      <c r="BP146" s="3"/>
      <c r="BR146" s="3"/>
      <c r="BS146" s="3"/>
      <c r="BX146" s="3"/>
      <c r="BY146" s="3"/>
      <c r="CA146" s="3"/>
      <c r="CB146" s="3"/>
      <c r="CC146" s="3"/>
      <c r="CG146" s="3"/>
      <c r="CH146" s="3"/>
      <c r="CJ146" s="3"/>
      <c r="CK146" s="3"/>
      <c r="CP146" s="3"/>
      <c r="CQ146" s="3"/>
      <c r="CS146" s="3"/>
      <c r="CT146" s="3"/>
      <c r="CY146" s="3"/>
      <c r="CZ146" s="3"/>
      <c r="DB146" s="3"/>
      <c r="DC146" s="3"/>
    </row>
    <row r="147" spans="4:107" ht="16.2" x14ac:dyDescent="0.3">
      <c r="D147" s="69"/>
      <c r="E147" s="81"/>
      <c r="F147" s="70" t="s">
        <v>238</v>
      </c>
      <c r="G147" s="48">
        <v>580</v>
      </c>
      <c r="H147" s="48"/>
      <c r="I147" s="71"/>
      <c r="M147"/>
      <c r="N147"/>
      <c r="O147"/>
      <c r="P147"/>
      <c r="Q147"/>
      <c r="R147"/>
      <c r="V147" s="3"/>
      <c r="W147" s="40"/>
      <c r="Y147" s="3"/>
      <c r="Z147" s="3"/>
      <c r="AA147" s="3"/>
      <c r="AE147" s="3"/>
      <c r="AF147" s="3"/>
      <c r="AH147" s="3"/>
      <c r="AI147" s="3"/>
      <c r="AJ147" s="3"/>
      <c r="AN147" s="3"/>
      <c r="AO147" s="3"/>
      <c r="AQ147" s="3"/>
      <c r="AR147" s="3"/>
      <c r="AW147" s="3"/>
      <c r="AX147" s="3"/>
      <c r="AZ147" s="3"/>
      <c r="BA147" s="3"/>
      <c r="BF147" s="3"/>
      <c r="BG147" s="3"/>
      <c r="BI147" s="3"/>
      <c r="BJ147" s="3"/>
      <c r="BO147" s="3"/>
      <c r="BP147" s="3"/>
      <c r="BR147" s="3"/>
      <c r="BS147" s="3"/>
      <c r="BX147" s="3"/>
      <c r="BY147" s="3"/>
      <c r="CA147" s="3"/>
      <c r="CB147" s="3"/>
      <c r="CC147" s="3"/>
      <c r="CG147" s="3"/>
      <c r="CH147" s="3"/>
      <c r="CJ147" s="3"/>
      <c r="CK147" s="3"/>
      <c r="CP147" s="3"/>
      <c r="CQ147" s="3"/>
      <c r="CS147" s="3"/>
      <c r="CT147" s="3"/>
      <c r="CY147" s="3"/>
      <c r="CZ147" s="3"/>
      <c r="DB147" s="3"/>
      <c r="DC147" s="3"/>
    </row>
    <row r="148" spans="4:107" ht="16.8" thickBot="1" x14ac:dyDescent="0.35">
      <c r="D148" s="69"/>
      <c r="E148" s="81"/>
      <c r="F148" s="70" t="s">
        <v>239</v>
      </c>
      <c r="G148" s="48"/>
      <c r="H148" s="48">
        <v>2360</v>
      </c>
      <c r="I148" s="71"/>
      <c r="M148"/>
      <c r="N148"/>
      <c r="O148"/>
      <c r="P148"/>
      <c r="Q148"/>
      <c r="R148"/>
      <c r="V148" s="3"/>
      <c r="W148" s="40"/>
      <c r="Y148" s="3"/>
      <c r="Z148" s="3"/>
      <c r="AA148" s="3"/>
      <c r="AE148" s="3"/>
      <c r="AF148" s="3"/>
      <c r="AH148" s="3"/>
      <c r="AI148" s="3"/>
      <c r="AJ148" s="3"/>
      <c r="AN148" s="3"/>
      <c r="AO148" s="3"/>
      <c r="AQ148" s="3"/>
      <c r="AR148" s="3"/>
      <c r="AW148" s="3"/>
      <c r="AX148" s="3"/>
      <c r="AZ148" s="3"/>
      <c r="BA148" s="3"/>
      <c r="BF148" s="3"/>
      <c r="BG148" s="3"/>
      <c r="BI148" s="3"/>
      <c r="BJ148" s="3"/>
      <c r="BO148" s="3"/>
      <c r="BP148" s="3"/>
      <c r="BR148" s="3"/>
      <c r="BS148" s="3"/>
      <c r="BX148" s="3"/>
      <c r="BY148" s="3"/>
      <c r="CA148" s="3"/>
      <c r="CB148" s="3"/>
      <c r="CC148" s="3"/>
      <c r="CG148" s="3"/>
      <c r="CH148" s="3"/>
      <c r="CJ148" s="3"/>
      <c r="CK148" s="3"/>
      <c r="CP148" s="3"/>
      <c r="CQ148" s="3"/>
      <c r="CS148" s="3"/>
      <c r="CT148" s="3"/>
      <c r="CY148" s="3"/>
      <c r="CZ148" s="3"/>
      <c r="DB148" s="3"/>
      <c r="DC148" s="3"/>
    </row>
    <row r="149" spans="4:107" ht="16.8" thickTop="1" x14ac:dyDescent="0.3">
      <c r="D149" s="96" t="s">
        <v>14</v>
      </c>
      <c r="E149" s="96"/>
      <c r="F149" s="97"/>
      <c r="G149" s="98"/>
      <c r="H149" s="98"/>
      <c r="I149" s="96"/>
      <c r="M149"/>
      <c r="N149"/>
      <c r="O149"/>
      <c r="P149"/>
      <c r="Q149"/>
      <c r="R149"/>
      <c r="V149" s="3"/>
      <c r="W149" s="40"/>
      <c r="Y149" s="3"/>
      <c r="Z149" s="3"/>
      <c r="AA149" s="3"/>
      <c r="AE149" s="3"/>
      <c r="AF149" s="3"/>
      <c r="AH149" s="3"/>
      <c r="AI149" s="3"/>
      <c r="AJ149" s="3"/>
      <c r="AN149" s="3"/>
      <c r="AO149" s="3"/>
      <c r="AQ149" s="3"/>
      <c r="AR149" s="3"/>
      <c r="AW149" s="3"/>
      <c r="AX149" s="3"/>
      <c r="AZ149" s="3"/>
      <c r="BA149" s="3"/>
      <c r="BF149" s="3"/>
      <c r="BG149" s="3"/>
      <c r="BI149" s="3"/>
      <c r="BJ149" s="3"/>
      <c r="BO149" s="3"/>
      <c r="BP149" s="3"/>
      <c r="BR149" s="3"/>
      <c r="BS149" s="3"/>
      <c r="BX149" s="3"/>
      <c r="BY149" s="3"/>
      <c r="CA149" s="3"/>
      <c r="CB149" s="3"/>
      <c r="CC149" s="3"/>
      <c r="CG149" s="3"/>
      <c r="CH149" s="3"/>
      <c r="CJ149" s="3"/>
      <c r="CK149" s="3"/>
      <c r="CP149" s="3"/>
      <c r="CQ149" s="3"/>
      <c r="CS149" s="3"/>
      <c r="CT149" s="3"/>
      <c r="CY149" s="3"/>
      <c r="CZ149" s="3"/>
      <c r="DB149" s="3"/>
      <c r="DC149" s="3"/>
    </row>
    <row r="150" spans="4:107" ht="16.2" x14ac:dyDescent="0.3">
      <c r="D150" s="40"/>
      <c r="E150" s="40"/>
      <c r="G150" s="3"/>
      <c r="H150" s="3"/>
      <c r="I150" s="3"/>
      <c r="M150"/>
      <c r="N150"/>
      <c r="O150"/>
      <c r="P150"/>
      <c r="Q150"/>
      <c r="R150"/>
      <c r="V150" s="3"/>
      <c r="W150" s="40"/>
      <c r="Y150" s="3"/>
      <c r="Z150" s="3"/>
      <c r="AA150" s="3"/>
      <c r="AE150" s="3"/>
      <c r="AF150" s="3"/>
      <c r="AH150" s="3"/>
      <c r="AI150" s="3"/>
      <c r="AJ150" s="3"/>
      <c r="AN150" s="3"/>
      <c r="AO150" s="3"/>
      <c r="AQ150" s="3"/>
      <c r="AR150" s="3"/>
      <c r="AW150" s="3"/>
      <c r="AX150" s="3"/>
      <c r="AZ150" s="3"/>
      <c r="BA150" s="3"/>
      <c r="BF150" s="3"/>
      <c r="BG150" s="3"/>
      <c r="BI150" s="3"/>
      <c r="BJ150" s="3"/>
      <c r="BO150" s="3"/>
      <c r="BP150" s="3"/>
      <c r="BR150" s="3"/>
      <c r="BS150" s="3"/>
      <c r="BX150" s="3"/>
      <c r="BY150" s="3"/>
      <c r="CA150" s="3"/>
      <c r="CB150" s="3"/>
      <c r="CC150" s="3"/>
      <c r="CG150" s="3"/>
      <c r="CH150" s="3"/>
      <c r="CJ150" s="3"/>
      <c r="CK150" s="3"/>
      <c r="CP150" s="3"/>
      <c r="CQ150" s="3"/>
      <c r="CS150" s="3"/>
      <c r="CT150" s="3"/>
      <c r="CY150" s="3"/>
      <c r="CZ150" s="3"/>
      <c r="DB150" s="3"/>
      <c r="DC150" s="3"/>
    </row>
    <row r="151" spans="4:107" ht="16.2" x14ac:dyDescent="0.3">
      <c r="D151" s="3"/>
      <c r="E151" s="40"/>
      <c r="G151" s="3"/>
      <c r="H151" s="3"/>
      <c r="I151" s="3"/>
      <c r="M151"/>
      <c r="N151"/>
      <c r="O151"/>
      <c r="P151"/>
      <c r="Q151"/>
      <c r="R151"/>
      <c r="V151" s="3"/>
      <c r="W151" s="40"/>
      <c r="Y151" s="3"/>
      <c r="Z151" s="3"/>
      <c r="AA151" s="3"/>
      <c r="AE151" s="3"/>
      <c r="AF151" s="3"/>
      <c r="AH151" s="3"/>
      <c r="AI151" s="3"/>
      <c r="AJ151" s="3"/>
      <c r="AN151" s="3"/>
      <c r="AO151" s="3"/>
      <c r="AQ151" s="3"/>
      <c r="AR151" s="3"/>
      <c r="AW151" s="3"/>
      <c r="AX151" s="3"/>
      <c r="AZ151" s="3"/>
      <c r="BA151" s="3"/>
      <c r="BF151" s="3"/>
      <c r="BG151" s="3"/>
      <c r="BI151" s="3"/>
      <c r="BJ151" s="3"/>
      <c r="BO151" s="3"/>
      <c r="BP151" s="3"/>
      <c r="BR151" s="3"/>
      <c r="BS151" s="3"/>
      <c r="BX151" s="3"/>
      <c r="BY151" s="3"/>
      <c r="CA151" s="3"/>
      <c r="CB151" s="3"/>
      <c r="CC151" s="3"/>
      <c r="CG151" s="3"/>
      <c r="CH151" s="3"/>
      <c r="CJ151" s="3"/>
      <c r="CK151" s="3"/>
      <c r="CP151" s="3"/>
      <c r="CQ151" s="3"/>
      <c r="CS151" s="3"/>
      <c r="CT151" s="3"/>
      <c r="CY151" s="3"/>
      <c r="CZ151" s="3"/>
      <c r="DB151" s="3"/>
      <c r="DC151" s="3"/>
    </row>
    <row r="152" spans="4:107" ht="16.2" x14ac:dyDescent="0.3">
      <c r="D152" s="3"/>
      <c r="E152" s="40"/>
      <c r="G152" s="3"/>
      <c r="H152" s="3"/>
      <c r="I152" s="3"/>
      <c r="M152"/>
      <c r="N152"/>
      <c r="O152"/>
      <c r="P152"/>
      <c r="Q152"/>
      <c r="R152"/>
      <c r="V152" s="3"/>
      <c r="W152" s="40"/>
      <c r="Y152" s="3"/>
      <c r="Z152" s="3"/>
      <c r="AA152" s="3"/>
      <c r="AE152" s="3"/>
      <c r="AF152" s="3"/>
      <c r="AH152" s="3"/>
      <c r="AI152" s="3"/>
      <c r="AJ152" s="3"/>
      <c r="AN152" s="3"/>
      <c r="AO152" s="3"/>
      <c r="AQ152" s="3"/>
      <c r="AR152" s="3"/>
      <c r="AW152" s="3"/>
      <c r="AX152" s="3"/>
      <c r="AZ152" s="3"/>
      <c r="BA152" s="3"/>
      <c r="BF152" s="3"/>
      <c r="BG152" s="3"/>
      <c r="BI152" s="3"/>
      <c r="BJ152" s="3"/>
      <c r="BO152" s="3"/>
      <c r="BP152" s="3"/>
      <c r="BR152" s="3"/>
      <c r="BS152" s="3"/>
      <c r="BX152" s="3"/>
      <c r="BY152" s="3"/>
      <c r="CA152" s="3"/>
      <c r="CB152" s="3"/>
      <c r="CC152" s="3"/>
      <c r="CG152" s="3"/>
      <c r="CH152" s="3"/>
      <c r="CJ152" s="3"/>
      <c r="CK152" s="3"/>
      <c r="CP152" s="3"/>
      <c r="CQ152" s="3"/>
      <c r="CS152" s="3"/>
      <c r="CT152" s="3"/>
      <c r="CY152" s="3"/>
      <c r="CZ152" s="3"/>
      <c r="DB152" s="3"/>
      <c r="DC152" s="3"/>
    </row>
    <row r="153" spans="4:107" ht="16.2" x14ac:dyDescent="0.3">
      <c r="D153" s="3"/>
      <c r="E153" s="40"/>
      <c r="G153" s="3"/>
      <c r="H153" s="3"/>
      <c r="I153" s="3"/>
      <c r="M153"/>
      <c r="N153"/>
      <c r="O153"/>
      <c r="P153"/>
      <c r="Q153"/>
      <c r="R153"/>
      <c r="V153" s="3"/>
      <c r="W153" s="40"/>
      <c r="Y153" s="3"/>
      <c r="Z153" s="3"/>
      <c r="AA153" s="3"/>
      <c r="AE153" s="3"/>
      <c r="AF153" s="3"/>
      <c r="AH153" s="3"/>
      <c r="AI153" s="3"/>
      <c r="AJ153" s="3"/>
      <c r="AN153" s="3"/>
      <c r="AO153" s="3"/>
      <c r="AQ153" s="3"/>
      <c r="AR153" s="3"/>
      <c r="AW153" s="3"/>
      <c r="AX153" s="3"/>
      <c r="AZ153" s="3"/>
      <c r="BA153" s="3"/>
      <c r="BF153" s="3"/>
      <c r="BG153" s="3"/>
      <c r="BI153" s="3"/>
      <c r="BJ153" s="3"/>
      <c r="BO153" s="3"/>
      <c r="BP153" s="3"/>
      <c r="BR153" s="3"/>
      <c r="BS153" s="3"/>
      <c r="BX153" s="3"/>
      <c r="BY153" s="3"/>
      <c r="CA153" s="3"/>
      <c r="CB153" s="3"/>
      <c r="CC153" s="3"/>
      <c r="CG153" s="3"/>
      <c r="CH153" s="3"/>
      <c r="CJ153" s="3"/>
      <c r="CK153" s="3"/>
      <c r="CP153" s="3"/>
      <c r="CQ153" s="3"/>
      <c r="CS153" s="3"/>
      <c r="CT153" s="3"/>
      <c r="CY153" s="3"/>
      <c r="CZ153" s="3"/>
      <c r="DB153" s="3"/>
      <c r="DC153" s="3"/>
    </row>
    <row r="154" spans="4:107" ht="16.2" x14ac:dyDescent="0.3">
      <c r="D154" s="3"/>
      <c r="E154" s="40"/>
      <c r="G154" s="3"/>
      <c r="H154" s="3"/>
      <c r="I154" s="3"/>
      <c r="M154"/>
      <c r="N154"/>
      <c r="O154"/>
      <c r="P154"/>
      <c r="Q154"/>
      <c r="R154"/>
      <c r="V154" s="3"/>
      <c r="W154" s="40"/>
      <c r="Y154" s="3"/>
      <c r="Z154" s="3"/>
      <c r="AA154" s="3"/>
      <c r="AE154" s="3"/>
      <c r="AF154" s="3"/>
      <c r="AH154" s="3"/>
      <c r="AI154" s="3"/>
      <c r="AJ154" s="3"/>
      <c r="AN154" s="3"/>
      <c r="AO154" s="3"/>
      <c r="AQ154" s="3"/>
      <c r="AR154" s="3"/>
      <c r="AW154" s="3"/>
      <c r="AX154" s="3"/>
      <c r="AZ154" s="3"/>
      <c r="BA154" s="3"/>
      <c r="BF154" s="3"/>
      <c r="BG154" s="3"/>
      <c r="BI154" s="3"/>
      <c r="BJ154" s="3"/>
      <c r="BO154" s="3"/>
      <c r="BP154" s="3"/>
      <c r="BR154" s="3"/>
      <c r="BS154" s="3"/>
      <c r="BX154" s="3"/>
      <c r="BY154" s="3"/>
      <c r="CA154" s="3"/>
      <c r="CB154" s="3"/>
      <c r="CC154" s="3"/>
      <c r="CG154" s="3"/>
      <c r="CH154" s="3"/>
      <c r="CJ154" s="3"/>
      <c r="CK154" s="3"/>
      <c r="CP154" s="3"/>
      <c r="CQ154" s="3"/>
      <c r="CS154" s="3"/>
      <c r="CT154" s="3"/>
      <c r="CY154" s="3"/>
      <c r="CZ154" s="3"/>
      <c r="DB154" s="3"/>
      <c r="DC154" s="3"/>
    </row>
    <row r="155" spans="4:107" ht="16.2" x14ac:dyDescent="0.3">
      <c r="D155" s="3"/>
      <c r="E155" s="40"/>
      <c r="G155" s="3"/>
      <c r="H155" s="3"/>
      <c r="I155" s="3"/>
      <c r="M155"/>
      <c r="N155"/>
      <c r="O155"/>
      <c r="P155"/>
      <c r="Q155"/>
      <c r="R155"/>
      <c r="V155" s="3"/>
      <c r="W155" s="40"/>
      <c r="Y155" s="3"/>
      <c r="Z155" s="3"/>
      <c r="AA155" s="3"/>
      <c r="AE155" s="3"/>
      <c r="AF155" s="3"/>
      <c r="AH155" s="3"/>
      <c r="AI155" s="3"/>
      <c r="AJ155" s="3"/>
      <c r="AN155" s="3"/>
      <c r="AO155" s="3"/>
      <c r="AQ155" s="3"/>
      <c r="AR155" s="3"/>
      <c r="AW155" s="3"/>
      <c r="AX155" s="3"/>
      <c r="AZ155" s="3"/>
      <c r="BA155" s="3"/>
      <c r="BF155" s="3"/>
      <c r="BG155" s="3"/>
      <c r="BI155" s="3"/>
      <c r="BJ155" s="3"/>
      <c r="BO155" s="3"/>
      <c r="BP155" s="3"/>
      <c r="BR155" s="3"/>
      <c r="BS155" s="3"/>
      <c r="BX155" s="3"/>
      <c r="BY155" s="3"/>
      <c r="CA155" s="3"/>
      <c r="CB155" s="3"/>
      <c r="CC155" s="3"/>
      <c r="CG155" s="3"/>
      <c r="CH155" s="3"/>
      <c r="CJ155" s="3"/>
      <c r="CK155" s="3"/>
      <c r="CP155" s="3"/>
      <c r="CQ155" s="3"/>
      <c r="CS155" s="3"/>
      <c r="CT155" s="3"/>
      <c r="CY155" s="3"/>
      <c r="CZ155" s="3"/>
      <c r="DB155" s="3"/>
      <c r="DC155" s="3"/>
    </row>
    <row r="156" spans="4:107" ht="16.2" x14ac:dyDescent="0.3">
      <c r="D156" s="3"/>
      <c r="E156" s="40"/>
      <c r="G156" s="3"/>
      <c r="H156" s="3"/>
      <c r="I156" s="3"/>
      <c r="M156"/>
      <c r="N156"/>
      <c r="O156"/>
      <c r="P156"/>
      <c r="Q156"/>
      <c r="R156"/>
      <c r="V156" s="3"/>
      <c r="W156" s="40"/>
      <c r="Y156" s="3"/>
      <c r="Z156" s="3"/>
      <c r="AA156" s="3"/>
      <c r="AE156" s="3"/>
      <c r="AF156" s="3"/>
      <c r="AH156" s="3"/>
      <c r="AI156" s="3"/>
      <c r="AJ156" s="3"/>
      <c r="AN156" s="3"/>
      <c r="AO156" s="3"/>
      <c r="AQ156" s="3"/>
      <c r="AR156" s="3"/>
      <c r="AW156" s="3"/>
      <c r="AX156" s="3"/>
      <c r="AZ156" s="3"/>
      <c r="BA156" s="3"/>
      <c r="BF156" s="3"/>
      <c r="BG156" s="3"/>
      <c r="BI156" s="3"/>
      <c r="BJ156" s="3"/>
      <c r="BO156" s="3"/>
      <c r="BP156" s="3"/>
      <c r="BR156" s="3"/>
      <c r="BS156" s="3"/>
      <c r="BX156" s="3"/>
      <c r="BY156" s="3"/>
      <c r="CA156" s="3"/>
      <c r="CB156" s="3"/>
      <c r="CC156" s="3"/>
      <c r="CG156" s="3"/>
      <c r="CH156" s="3"/>
      <c r="CJ156" s="3"/>
      <c r="CK156" s="3"/>
      <c r="CP156" s="3"/>
      <c r="CQ156" s="3"/>
      <c r="CS156" s="3"/>
      <c r="CT156" s="3"/>
      <c r="CY156" s="3"/>
      <c r="CZ156" s="3"/>
      <c r="DB156" s="3"/>
      <c r="DC156" s="3"/>
    </row>
    <row r="157" spans="4:107" ht="16.2" x14ac:dyDescent="0.3">
      <c r="D157" s="3"/>
      <c r="E157" s="40"/>
      <c r="G157" s="3"/>
      <c r="H157" s="3"/>
      <c r="I157" s="3"/>
      <c r="M157"/>
      <c r="N157"/>
      <c r="O157"/>
      <c r="P157"/>
      <c r="Q157"/>
      <c r="R157"/>
      <c r="V157" s="3"/>
      <c r="W157" s="40"/>
      <c r="Y157" s="3"/>
      <c r="Z157" s="3"/>
      <c r="AA157" s="3"/>
      <c r="AE157" s="3"/>
      <c r="AF157" s="3"/>
      <c r="AH157" s="3"/>
      <c r="AI157" s="3"/>
      <c r="AJ157" s="3"/>
      <c r="AN157" s="3"/>
      <c r="AO157" s="3"/>
      <c r="AQ157" s="3"/>
      <c r="AR157" s="3"/>
      <c r="AW157" s="3"/>
      <c r="AX157" s="3"/>
      <c r="AZ157" s="3"/>
      <c r="BA157" s="3"/>
      <c r="BF157" s="3"/>
      <c r="BG157" s="3"/>
      <c r="BI157" s="3"/>
      <c r="BJ157" s="3"/>
      <c r="BO157" s="3"/>
      <c r="BP157" s="3"/>
      <c r="BR157" s="3"/>
      <c r="BS157" s="3"/>
      <c r="BX157" s="3"/>
      <c r="BY157" s="3"/>
      <c r="CA157" s="3"/>
      <c r="CB157" s="3"/>
      <c r="CC157" s="3"/>
      <c r="CG157" s="3"/>
      <c r="CH157" s="3"/>
      <c r="CJ157" s="3"/>
      <c r="CK157" s="3"/>
      <c r="CP157" s="3"/>
      <c r="CQ157" s="3"/>
      <c r="CS157" s="3"/>
      <c r="CT157" s="3"/>
      <c r="CY157" s="3"/>
      <c r="CZ157" s="3"/>
      <c r="DB157" s="3"/>
      <c r="DC157" s="3"/>
    </row>
    <row r="158" spans="4:107" ht="16.2" x14ac:dyDescent="0.3">
      <c r="D158" s="3"/>
      <c r="E158" s="40"/>
      <c r="G158" s="3"/>
      <c r="H158" s="3"/>
      <c r="I158" s="3"/>
      <c r="M158"/>
      <c r="N158"/>
      <c r="O158"/>
      <c r="P158"/>
      <c r="Q158"/>
      <c r="R158"/>
      <c r="V158" s="3"/>
      <c r="W158" s="40"/>
      <c r="Y158" s="3"/>
      <c r="Z158" s="3"/>
      <c r="AA158" s="3"/>
      <c r="AE158" s="3"/>
      <c r="AF158" s="3"/>
      <c r="AH158" s="3"/>
      <c r="AI158" s="3"/>
      <c r="AJ158" s="3"/>
      <c r="AN158" s="3"/>
      <c r="AO158" s="3"/>
      <c r="AQ158" s="3"/>
      <c r="AR158" s="3"/>
      <c r="AW158" s="3"/>
      <c r="AX158" s="3"/>
      <c r="AZ158" s="3"/>
      <c r="BA158" s="3"/>
      <c r="BF158" s="3"/>
      <c r="BG158" s="3"/>
      <c r="BI158" s="3"/>
      <c r="BJ158" s="3"/>
      <c r="BO158" s="3"/>
      <c r="BP158" s="3"/>
      <c r="BR158" s="3"/>
      <c r="BS158" s="3"/>
      <c r="BX158" s="3"/>
      <c r="BY158" s="3"/>
      <c r="CA158" s="3"/>
      <c r="CB158" s="3"/>
      <c r="CC158" s="3"/>
      <c r="CG158" s="3"/>
      <c r="CH158" s="3"/>
      <c r="CJ158" s="3"/>
      <c r="CK158" s="3"/>
      <c r="CP158" s="3"/>
      <c r="CQ158" s="3"/>
      <c r="CS158" s="3"/>
      <c r="CT158" s="3"/>
      <c r="CY158" s="3"/>
      <c r="CZ158" s="3"/>
      <c r="DB158" s="3"/>
      <c r="DC158" s="3"/>
    </row>
    <row r="159" spans="4:107" ht="16.2" x14ac:dyDescent="0.3">
      <c r="D159" s="3"/>
      <c r="E159" s="40"/>
      <c r="G159" s="3"/>
      <c r="H159" s="3"/>
      <c r="I159" s="3"/>
      <c r="M159"/>
      <c r="N159"/>
      <c r="O159"/>
      <c r="P159"/>
      <c r="Q159"/>
      <c r="R159"/>
      <c r="V159" s="3"/>
      <c r="W159" s="40"/>
      <c r="Y159" s="3"/>
      <c r="Z159" s="3"/>
      <c r="AA159" s="3"/>
      <c r="AE159" s="3"/>
      <c r="AF159" s="3"/>
      <c r="AH159" s="3"/>
      <c r="AI159" s="3"/>
      <c r="AJ159" s="3"/>
      <c r="AN159" s="3"/>
      <c r="AO159" s="3"/>
      <c r="AQ159" s="3"/>
      <c r="AR159" s="3"/>
      <c r="AW159" s="3"/>
      <c r="AX159" s="3"/>
      <c r="AZ159" s="3"/>
      <c r="BA159" s="3"/>
      <c r="BF159" s="3"/>
      <c r="BG159" s="3"/>
      <c r="BI159" s="3"/>
      <c r="BJ159" s="3"/>
      <c r="BO159" s="3"/>
      <c r="BP159" s="3"/>
      <c r="BR159" s="3"/>
      <c r="BS159" s="3"/>
      <c r="BX159" s="3"/>
      <c r="BY159" s="3"/>
      <c r="CA159" s="3"/>
      <c r="CB159" s="3"/>
      <c r="CC159" s="3"/>
      <c r="CG159" s="3"/>
      <c r="CH159" s="3"/>
      <c r="CJ159" s="3"/>
      <c r="CK159" s="3"/>
      <c r="CP159" s="3"/>
      <c r="CQ159" s="3"/>
      <c r="CS159" s="3"/>
      <c r="CT159" s="3"/>
      <c r="CY159" s="3"/>
      <c r="CZ159" s="3"/>
      <c r="DB159" s="3"/>
      <c r="DC159" s="3"/>
    </row>
    <row r="160" spans="4:107" ht="16.2" x14ac:dyDescent="0.3">
      <c r="D160" s="3"/>
      <c r="E160" s="40"/>
      <c r="G160" s="3"/>
      <c r="H160" s="3"/>
      <c r="I160" s="3"/>
      <c r="M160"/>
      <c r="N160"/>
      <c r="O160"/>
      <c r="P160"/>
      <c r="Q160"/>
      <c r="R160"/>
      <c r="V160" s="3"/>
      <c r="W160" s="40"/>
      <c r="Y160" s="3"/>
      <c r="Z160" s="3"/>
      <c r="AA160" s="3"/>
      <c r="AE160" s="3"/>
      <c r="AF160" s="3"/>
      <c r="AH160" s="3"/>
      <c r="AI160" s="3"/>
      <c r="AJ160" s="3"/>
      <c r="AN160" s="3"/>
      <c r="AO160" s="3"/>
      <c r="AQ160" s="3"/>
      <c r="AR160" s="3"/>
      <c r="AW160" s="3"/>
      <c r="AX160" s="3"/>
      <c r="AZ160" s="3"/>
      <c r="BA160" s="3"/>
      <c r="BF160" s="3"/>
      <c r="BG160" s="3"/>
      <c r="BI160" s="3"/>
      <c r="BJ160" s="3"/>
      <c r="BO160" s="3"/>
      <c r="BP160" s="3"/>
      <c r="BR160" s="3"/>
      <c r="BS160" s="3"/>
      <c r="BX160" s="3"/>
      <c r="BY160" s="3"/>
      <c r="CA160" s="3"/>
      <c r="CB160" s="3"/>
      <c r="CC160" s="3"/>
      <c r="CG160" s="3"/>
      <c r="CH160" s="3"/>
      <c r="CJ160" s="3"/>
      <c r="CK160" s="3"/>
      <c r="CP160" s="3"/>
      <c r="CQ160" s="3"/>
      <c r="CS160" s="3"/>
      <c r="CT160" s="3"/>
      <c r="CY160" s="3"/>
      <c r="CZ160" s="3"/>
      <c r="DB160" s="3"/>
      <c r="DC160" s="3"/>
    </row>
    <row r="161" spans="4:107" ht="16.2" x14ac:dyDescent="0.3">
      <c r="D161" s="3"/>
      <c r="E161" s="40"/>
      <c r="G161" s="3"/>
      <c r="H161" s="3"/>
      <c r="I161" s="3"/>
      <c r="M161"/>
      <c r="N161"/>
      <c r="O161"/>
      <c r="P161"/>
      <c r="Q161"/>
      <c r="R161"/>
      <c r="V161" s="3"/>
      <c r="W161" s="40"/>
      <c r="Y161" s="3"/>
      <c r="Z161" s="3"/>
      <c r="AA161" s="3"/>
      <c r="AE161" s="3"/>
      <c r="AF161" s="3"/>
      <c r="AH161" s="3"/>
      <c r="AI161" s="3"/>
      <c r="AJ161" s="3"/>
      <c r="AN161" s="3"/>
      <c r="AO161" s="3"/>
      <c r="AQ161" s="3"/>
      <c r="AR161" s="3"/>
      <c r="AW161" s="3"/>
      <c r="AX161" s="3"/>
      <c r="AZ161" s="3"/>
      <c r="BA161" s="3"/>
      <c r="BF161" s="3"/>
      <c r="BG161" s="3"/>
      <c r="BI161" s="3"/>
      <c r="BJ161" s="3"/>
      <c r="BO161" s="3"/>
      <c r="BP161" s="3"/>
      <c r="BR161" s="3"/>
      <c r="BS161" s="3"/>
      <c r="BX161" s="3"/>
      <c r="BY161" s="3"/>
      <c r="CA161" s="3"/>
      <c r="CB161" s="3"/>
      <c r="CC161" s="3"/>
      <c r="CG161" s="3"/>
      <c r="CH161" s="3"/>
      <c r="CJ161" s="3"/>
      <c r="CK161" s="3"/>
      <c r="CP161" s="3"/>
      <c r="CQ161" s="3"/>
      <c r="CS161" s="3"/>
      <c r="CT161" s="3"/>
      <c r="CY161" s="3"/>
      <c r="CZ161" s="3"/>
      <c r="DB161" s="3"/>
      <c r="DC161" s="3"/>
    </row>
    <row r="162" spans="4:107" ht="16.2" x14ac:dyDescent="0.3">
      <c r="D162" s="3"/>
      <c r="E162" s="40"/>
      <c r="G162" s="3"/>
      <c r="H162" s="3"/>
      <c r="I162" s="3"/>
      <c r="M162"/>
      <c r="N162"/>
      <c r="O162"/>
      <c r="P162"/>
      <c r="Q162"/>
      <c r="R162"/>
      <c r="V162" s="3"/>
      <c r="W162" s="40"/>
      <c r="Y162" s="3"/>
      <c r="Z162" s="3"/>
      <c r="AA162" s="3"/>
      <c r="AE162" s="3"/>
      <c r="AF162" s="3"/>
      <c r="AH162" s="3"/>
      <c r="AI162" s="3"/>
      <c r="AJ162" s="3"/>
      <c r="AN162" s="3"/>
      <c r="AO162" s="3"/>
      <c r="AQ162" s="3"/>
      <c r="AR162" s="3"/>
      <c r="AW162" s="3"/>
      <c r="AX162" s="3"/>
      <c r="AZ162" s="3"/>
      <c r="BA162" s="3"/>
      <c r="BF162" s="3"/>
      <c r="BG162" s="3"/>
      <c r="BI162" s="3"/>
      <c r="BJ162" s="3"/>
      <c r="BO162" s="3"/>
      <c r="BP162" s="3"/>
      <c r="BR162" s="3"/>
      <c r="BS162" s="3"/>
      <c r="BX162" s="3"/>
      <c r="BY162" s="3"/>
      <c r="CA162" s="3"/>
      <c r="CB162" s="3"/>
      <c r="CC162" s="3"/>
      <c r="CG162" s="3"/>
      <c r="CH162" s="3"/>
      <c r="CJ162" s="3"/>
      <c r="CK162" s="3"/>
      <c r="CP162" s="3"/>
      <c r="CQ162" s="3"/>
      <c r="CS162" s="3"/>
      <c r="CT162" s="3"/>
      <c r="CY162" s="3"/>
      <c r="CZ162" s="3"/>
      <c r="DB162" s="3"/>
      <c r="DC162" s="3"/>
    </row>
    <row r="163" spans="4:107" ht="16.2" x14ac:dyDescent="0.3">
      <c r="D163" s="3"/>
      <c r="E163" s="40"/>
      <c r="G163" s="3"/>
      <c r="H163" s="3"/>
      <c r="I163" s="3"/>
      <c r="M163"/>
      <c r="N163"/>
      <c r="O163"/>
      <c r="P163"/>
      <c r="Q163"/>
      <c r="R163"/>
      <c r="V163" s="3"/>
      <c r="W163" s="40"/>
      <c r="Y163" s="3"/>
      <c r="Z163" s="3"/>
      <c r="AA163" s="3"/>
      <c r="AE163" s="3"/>
      <c r="AF163" s="3"/>
      <c r="AH163" s="3"/>
      <c r="AI163" s="3"/>
      <c r="AJ163" s="3"/>
      <c r="AN163" s="3"/>
      <c r="AO163" s="3"/>
      <c r="AQ163" s="3"/>
      <c r="AR163" s="3"/>
      <c r="AW163" s="3"/>
      <c r="AX163" s="3"/>
      <c r="AZ163" s="3"/>
      <c r="BA163" s="3"/>
      <c r="BF163" s="3"/>
      <c r="BG163" s="3"/>
      <c r="BI163" s="3"/>
      <c r="BJ163" s="3"/>
      <c r="BO163" s="3"/>
      <c r="BP163" s="3"/>
      <c r="BR163" s="3"/>
      <c r="BS163" s="3"/>
      <c r="BX163" s="3"/>
      <c r="BY163" s="3"/>
      <c r="CA163" s="3"/>
      <c r="CB163" s="3"/>
      <c r="CC163" s="3"/>
      <c r="CG163" s="3"/>
      <c r="CH163" s="3"/>
      <c r="CJ163" s="3"/>
      <c r="CK163" s="3"/>
      <c r="CP163" s="3"/>
      <c r="CQ163" s="3"/>
      <c r="CS163" s="3"/>
      <c r="CT163" s="3"/>
      <c r="CY163" s="3"/>
      <c r="CZ163" s="3"/>
      <c r="DB163" s="3"/>
      <c r="DC163" s="3"/>
    </row>
    <row r="164" spans="4:107" ht="16.2" x14ac:dyDescent="0.3">
      <c r="D164" s="3"/>
      <c r="E164" s="40"/>
      <c r="G164" s="3"/>
      <c r="H164" s="3"/>
      <c r="I164" s="3"/>
      <c r="M164"/>
      <c r="N164"/>
      <c r="O164"/>
      <c r="P164"/>
      <c r="Q164"/>
      <c r="R164"/>
      <c r="V164" s="3"/>
      <c r="W164" s="40"/>
      <c r="Y164" s="3"/>
      <c r="Z164" s="3"/>
      <c r="AA164" s="3"/>
      <c r="AE164" s="3"/>
      <c r="AF164" s="3"/>
      <c r="AH164" s="3"/>
      <c r="AI164" s="3"/>
      <c r="AJ164" s="3"/>
      <c r="AN164" s="3"/>
      <c r="AO164" s="3"/>
      <c r="AQ164" s="3"/>
      <c r="AR164" s="3"/>
      <c r="AW164" s="3"/>
      <c r="AX164" s="3"/>
      <c r="AZ164" s="3"/>
      <c r="BA164" s="3"/>
      <c r="BF164" s="3"/>
      <c r="BG164" s="3"/>
      <c r="BI164" s="3"/>
      <c r="BJ164" s="3"/>
      <c r="BO164" s="3"/>
      <c r="BP164" s="3"/>
      <c r="BR164" s="3"/>
      <c r="BS164" s="3"/>
      <c r="BX164" s="3"/>
      <c r="BY164" s="3"/>
      <c r="CA164" s="3"/>
      <c r="CB164" s="3"/>
      <c r="CC164" s="3"/>
      <c r="CG164" s="3"/>
      <c r="CH164" s="3"/>
      <c r="CJ164" s="3"/>
      <c r="CK164" s="3"/>
      <c r="CP164" s="3"/>
      <c r="CQ164" s="3"/>
      <c r="CS164" s="3"/>
      <c r="CT164" s="3"/>
      <c r="CY164" s="3"/>
      <c r="CZ164" s="3"/>
      <c r="DB164" s="3"/>
      <c r="DC164" s="3"/>
    </row>
    <row r="165" spans="4:107" ht="16.2" x14ac:dyDescent="0.3">
      <c r="D165" s="3"/>
      <c r="E165" s="40"/>
      <c r="G165" s="3"/>
      <c r="H165" s="3"/>
      <c r="I165" s="3"/>
      <c r="M165"/>
      <c r="N165"/>
      <c r="O165"/>
      <c r="P165"/>
      <c r="Q165"/>
      <c r="R165"/>
      <c r="V165" s="3"/>
      <c r="W165" s="40"/>
      <c r="Y165" s="3"/>
      <c r="Z165" s="3"/>
      <c r="AA165" s="3"/>
      <c r="AE165" s="3"/>
      <c r="AF165" s="3"/>
      <c r="AH165" s="3"/>
      <c r="AI165" s="3"/>
      <c r="AJ165" s="3"/>
      <c r="AN165" s="3"/>
      <c r="AO165" s="3"/>
      <c r="AQ165" s="3"/>
      <c r="AR165" s="3"/>
      <c r="AW165" s="3"/>
      <c r="AX165" s="3"/>
      <c r="AZ165" s="3"/>
      <c r="BA165" s="3"/>
      <c r="BF165" s="3"/>
      <c r="BG165" s="3"/>
      <c r="BI165" s="3"/>
      <c r="BJ165" s="3"/>
      <c r="BO165" s="3"/>
      <c r="BP165" s="3"/>
      <c r="BR165" s="3"/>
      <c r="BS165" s="3"/>
      <c r="BX165" s="3"/>
      <c r="BY165" s="3"/>
      <c r="CA165" s="3"/>
      <c r="CB165" s="3"/>
      <c r="CC165" s="3"/>
      <c r="CG165" s="3"/>
      <c r="CH165" s="3"/>
      <c r="CJ165" s="3"/>
      <c r="CK165" s="3"/>
      <c r="CP165" s="3"/>
      <c r="CQ165" s="3"/>
      <c r="CS165" s="3"/>
      <c r="CT165" s="3"/>
      <c r="CY165" s="3"/>
      <c r="CZ165" s="3"/>
      <c r="DB165" s="3"/>
      <c r="DC165" s="3"/>
    </row>
    <row r="166" spans="4:107" ht="16.2" x14ac:dyDescent="0.3">
      <c r="D166" s="3"/>
      <c r="E166" s="40"/>
      <c r="G166" s="3"/>
      <c r="H166" s="3"/>
      <c r="I166" s="3"/>
      <c r="M166"/>
      <c r="N166"/>
      <c r="O166"/>
      <c r="P166"/>
      <c r="Q166"/>
      <c r="R166"/>
      <c r="V166" s="3"/>
      <c r="W166" s="40"/>
      <c r="Y166" s="3"/>
      <c r="Z166" s="3"/>
      <c r="AA166" s="3"/>
      <c r="AE166" s="3"/>
      <c r="AF166" s="3"/>
      <c r="AH166" s="3"/>
      <c r="AI166" s="3"/>
      <c r="AJ166" s="3"/>
      <c r="AN166" s="3"/>
      <c r="AO166" s="3"/>
      <c r="AQ166" s="3"/>
      <c r="AR166" s="3"/>
      <c r="AW166" s="3"/>
      <c r="AX166" s="3"/>
      <c r="AZ166" s="3"/>
      <c r="BA166" s="3"/>
      <c r="BF166" s="3"/>
      <c r="BG166" s="3"/>
      <c r="BI166" s="3"/>
      <c r="BJ166" s="3"/>
      <c r="BO166" s="3"/>
      <c r="BP166" s="3"/>
      <c r="BR166" s="3"/>
      <c r="BS166" s="3"/>
      <c r="BX166" s="3"/>
      <c r="BY166" s="3"/>
      <c r="CA166" s="3"/>
      <c r="CB166" s="3"/>
      <c r="CC166" s="3"/>
      <c r="CG166" s="3"/>
      <c r="CH166" s="3"/>
      <c r="CJ166" s="3"/>
      <c r="CK166" s="3"/>
      <c r="CP166" s="3"/>
      <c r="CQ166" s="3"/>
      <c r="CS166" s="3"/>
      <c r="CT166" s="3"/>
      <c r="CY166" s="3"/>
      <c r="CZ166" s="3"/>
      <c r="DB166" s="3"/>
      <c r="DC166" s="3"/>
    </row>
    <row r="167" spans="4:107" ht="16.2" x14ac:dyDescent="0.3">
      <c r="D167" s="3"/>
      <c r="E167" s="40"/>
      <c r="G167" s="3"/>
      <c r="H167" s="3"/>
      <c r="I167" s="3"/>
      <c r="M167"/>
      <c r="N167"/>
      <c r="O167"/>
      <c r="P167"/>
      <c r="Q167"/>
      <c r="R167"/>
      <c r="V167" s="3"/>
      <c r="W167" s="40"/>
      <c r="Y167" s="3"/>
      <c r="Z167" s="3"/>
      <c r="AA167" s="3"/>
      <c r="AE167" s="3"/>
      <c r="AF167" s="3"/>
      <c r="AH167" s="3"/>
      <c r="AI167" s="3"/>
      <c r="AJ167" s="3"/>
      <c r="AN167" s="3"/>
      <c r="AO167" s="3"/>
      <c r="AQ167" s="3"/>
      <c r="AR167" s="3"/>
      <c r="AW167" s="3"/>
      <c r="AX167" s="3"/>
      <c r="AZ167" s="3"/>
      <c r="BA167" s="3"/>
      <c r="BF167" s="3"/>
      <c r="BG167" s="3"/>
      <c r="BI167" s="3"/>
      <c r="BJ167" s="3"/>
      <c r="BO167" s="3"/>
      <c r="BP167" s="3"/>
      <c r="BR167" s="3"/>
      <c r="BS167" s="3"/>
      <c r="BX167" s="3"/>
      <c r="BY167" s="3"/>
      <c r="CA167" s="3"/>
      <c r="CB167" s="3"/>
      <c r="CC167" s="3"/>
      <c r="CG167" s="3"/>
      <c r="CH167" s="3"/>
      <c r="CJ167" s="3"/>
      <c r="CK167" s="3"/>
      <c r="CP167" s="3"/>
      <c r="CQ167" s="3"/>
      <c r="CS167" s="3"/>
      <c r="CT167" s="3"/>
      <c r="CY167" s="3"/>
      <c r="CZ167" s="3"/>
      <c r="DB167" s="3"/>
      <c r="DC167" s="3"/>
    </row>
    <row r="168" spans="4:107" ht="16.2" x14ac:dyDescent="0.3">
      <c r="D168" s="3"/>
      <c r="E168" s="40"/>
      <c r="G168" s="3"/>
      <c r="H168" s="3"/>
      <c r="I168" s="3"/>
      <c r="M168"/>
      <c r="N168"/>
      <c r="O168"/>
      <c r="P168"/>
      <c r="Q168"/>
      <c r="R168"/>
      <c r="V168" s="3"/>
      <c r="W168" s="40"/>
      <c r="Y168" s="3"/>
      <c r="Z168" s="3"/>
      <c r="AA168" s="3"/>
      <c r="AE168" s="3"/>
      <c r="AF168" s="3"/>
      <c r="AH168" s="3"/>
      <c r="AI168" s="3"/>
      <c r="AJ168" s="3"/>
      <c r="AN168" s="3"/>
      <c r="AO168" s="3"/>
      <c r="AQ168" s="3"/>
      <c r="AR168" s="3"/>
      <c r="AW168" s="3"/>
      <c r="AX168" s="3"/>
      <c r="AZ168" s="3"/>
      <c r="BA168" s="3"/>
      <c r="BF168" s="3"/>
      <c r="BG168" s="3"/>
      <c r="BI168" s="3"/>
      <c r="BJ168" s="3"/>
      <c r="BO168" s="3"/>
      <c r="BP168" s="3"/>
      <c r="BR168" s="3"/>
      <c r="BS168" s="3"/>
      <c r="BX168" s="3"/>
      <c r="BY168" s="3"/>
      <c r="CA168" s="3"/>
      <c r="CB168" s="3"/>
      <c r="CC168" s="3"/>
      <c r="CG168" s="3"/>
      <c r="CH168" s="3"/>
      <c r="CJ168" s="3"/>
      <c r="CK168" s="3"/>
      <c r="CP168" s="3"/>
      <c r="CQ168" s="3"/>
      <c r="CS168" s="3"/>
      <c r="CT168" s="3"/>
      <c r="CY168" s="3"/>
      <c r="CZ168" s="3"/>
      <c r="DB168" s="3"/>
      <c r="DC168" s="3"/>
    </row>
    <row r="169" spans="4:107" ht="16.2" x14ac:dyDescent="0.3">
      <c r="D169" s="3"/>
      <c r="E169" s="40"/>
      <c r="G169" s="3"/>
      <c r="H169" s="3"/>
      <c r="I169" s="3"/>
      <c r="M169"/>
      <c r="N169"/>
      <c r="O169"/>
      <c r="P169"/>
      <c r="Q169"/>
      <c r="R169"/>
      <c r="V169" s="3"/>
      <c r="W169" s="40"/>
      <c r="Y169" s="3"/>
      <c r="Z169" s="3"/>
      <c r="AA169" s="3"/>
      <c r="AE169" s="3"/>
      <c r="AF169" s="3"/>
      <c r="AH169" s="3"/>
      <c r="AI169" s="3"/>
      <c r="AJ169" s="3"/>
      <c r="AN169" s="3"/>
      <c r="AO169" s="3"/>
      <c r="AQ169" s="3"/>
      <c r="AR169" s="3"/>
      <c r="AW169" s="3"/>
      <c r="AX169" s="3"/>
      <c r="AZ169" s="3"/>
      <c r="BA169" s="3"/>
      <c r="BF169" s="3"/>
      <c r="BG169" s="3"/>
      <c r="BI169" s="3"/>
      <c r="BJ169" s="3"/>
      <c r="BO169" s="3"/>
      <c r="BP169" s="3"/>
      <c r="BR169" s="3"/>
      <c r="BS169" s="3"/>
      <c r="BX169" s="3"/>
      <c r="BY169" s="3"/>
      <c r="CA169" s="3"/>
      <c r="CB169" s="3"/>
      <c r="CC169" s="3"/>
      <c r="CG169" s="3"/>
      <c r="CH169" s="3"/>
      <c r="CJ169" s="3"/>
      <c r="CK169" s="3"/>
      <c r="CP169" s="3"/>
      <c r="CQ169" s="3"/>
      <c r="CS169" s="3"/>
      <c r="CT169" s="3"/>
      <c r="CY169" s="3"/>
      <c r="CZ169" s="3"/>
      <c r="DB169" s="3"/>
      <c r="DC169" s="3"/>
    </row>
    <row r="170" spans="4:107" ht="16.2" x14ac:dyDescent="0.3">
      <c r="D170" s="3"/>
      <c r="E170" s="40"/>
      <c r="G170" s="3"/>
      <c r="H170" s="3"/>
      <c r="I170" s="3"/>
      <c r="M170"/>
      <c r="N170"/>
      <c r="O170"/>
      <c r="P170"/>
      <c r="Q170"/>
      <c r="R170"/>
      <c r="V170" s="3"/>
      <c r="W170" s="40"/>
      <c r="Y170" s="3"/>
      <c r="Z170" s="3"/>
      <c r="AA170" s="3"/>
      <c r="AE170" s="3"/>
      <c r="AF170" s="3"/>
      <c r="AH170" s="3"/>
      <c r="AI170" s="3"/>
      <c r="AJ170" s="3"/>
      <c r="AN170" s="3"/>
      <c r="AO170" s="3"/>
      <c r="AQ170" s="3"/>
      <c r="AR170" s="3"/>
      <c r="AW170" s="3"/>
      <c r="AX170" s="3"/>
      <c r="AZ170" s="3"/>
      <c r="BA170" s="3"/>
      <c r="BF170" s="3"/>
      <c r="BG170" s="3"/>
      <c r="BI170" s="3"/>
      <c r="BJ170" s="3"/>
      <c r="BO170" s="3"/>
      <c r="BP170" s="3"/>
      <c r="BR170" s="3"/>
      <c r="BS170" s="3"/>
      <c r="BX170" s="3"/>
      <c r="BY170" s="3"/>
      <c r="CA170" s="3"/>
      <c r="CB170" s="3"/>
      <c r="CC170" s="3"/>
      <c r="CG170" s="3"/>
      <c r="CH170" s="3"/>
      <c r="CJ170" s="3"/>
      <c r="CK170" s="3"/>
      <c r="CP170" s="3"/>
      <c r="CQ170" s="3"/>
      <c r="CS170" s="3"/>
      <c r="CT170" s="3"/>
      <c r="CY170" s="3"/>
      <c r="CZ170" s="3"/>
      <c r="DB170" s="3"/>
      <c r="DC170" s="3"/>
    </row>
    <row r="171" spans="4:107" ht="16.2" x14ac:dyDescent="0.3">
      <c r="D171" s="3"/>
      <c r="E171" s="40"/>
      <c r="G171" s="3"/>
      <c r="H171" s="3"/>
      <c r="I171" s="3"/>
      <c r="M171"/>
      <c r="N171"/>
      <c r="O171"/>
      <c r="P171"/>
      <c r="Q171"/>
      <c r="R171"/>
      <c r="V171" s="3"/>
      <c r="W171" s="40"/>
      <c r="Y171" s="3"/>
      <c r="Z171" s="3"/>
      <c r="AA171" s="3"/>
      <c r="AE171" s="3"/>
      <c r="AF171" s="3"/>
      <c r="AH171" s="3"/>
      <c r="AI171" s="3"/>
      <c r="AJ171" s="3"/>
      <c r="AN171" s="3"/>
      <c r="AO171" s="3"/>
      <c r="AQ171" s="3"/>
      <c r="AR171" s="3"/>
      <c r="AW171" s="3"/>
      <c r="AX171" s="3"/>
      <c r="AZ171" s="3"/>
      <c r="BA171" s="3"/>
      <c r="BF171" s="3"/>
      <c r="BG171" s="3"/>
      <c r="BI171" s="3"/>
      <c r="BJ171" s="3"/>
      <c r="BO171" s="3"/>
      <c r="BP171" s="3"/>
      <c r="BR171" s="3"/>
      <c r="BS171" s="3"/>
      <c r="BX171" s="3"/>
      <c r="BY171" s="3"/>
      <c r="CA171" s="3"/>
      <c r="CB171" s="3"/>
      <c r="CC171" s="3"/>
      <c r="CG171" s="3"/>
      <c r="CH171" s="3"/>
      <c r="CJ171" s="3"/>
      <c r="CK171" s="3"/>
      <c r="CP171" s="3"/>
      <c r="CQ171" s="3"/>
      <c r="CS171" s="3"/>
      <c r="CT171" s="3"/>
      <c r="CY171" s="3"/>
      <c r="CZ171" s="3"/>
      <c r="DB171" s="3"/>
      <c r="DC171" s="3"/>
    </row>
    <row r="172" spans="4:107" ht="16.2" x14ac:dyDescent="0.3">
      <c r="D172" s="3"/>
      <c r="E172" s="40"/>
      <c r="G172" s="3"/>
      <c r="H172" s="3"/>
      <c r="I172" s="3"/>
      <c r="M172"/>
      <c r="N172"/>
      <c r="O172"/>
      <c r="P172"/>
      <c r="Q172"/>
      <c r="R172"/>
      <c r="V172" s="3"/>
      <c r="W172" s="40"/>
      <c r="Y172" s="3"/>
      <c r="Z172" s="3"/>
      <c r="AA172" s="3"/>
      <c r="AE172" s="3"/>
      <c r="AF172" s="3"/>
      <c r="AH172" s="3"/>
      <c r="AI172" s="3"/>
      <c r="AJ172" s="3"/>
      <c r="AN172" s="3"/>
      <c r="AO172" s="3"/>
      <c r="AQ172" s="3"/>
      <c r="AR172" s="3"/>
      <c r="AW172" s="3"/>
      <c r="AX172" s="3"/>
      <c r="AZ172" s="3"/>
      <c r="BA172" s="3"/>
      <c r="BF172" s="3"/>
      <c r="BG172" s="3"/>
      <c r="BI172" s="3"/>
      <c r="BJ172" s="3"/>
      <c r="BO172" s="3"/>
      <c r="BP172" s="3"/>
      <c r="BR172" s="3"/>
      <c r="BS172" s="3"/>
      <c r="BX172" s="3"/>
      <c r="BY172" s="3"/>
      <c r="CA172" s="3"/>
      <c r="CB172" s="3"/>
      <c r="CC172" s="3"/>
      <c r="CG172" s="3"/>
      <c r="CH172" s="3"/>
      <c r="CJ172" s="3"/>
      <c r="CK172" s="3"/>
      <c r="CP172" s="3"/>
      <c r="CQ172" s="3"/>
      <c r="CS172" s="3"/>
      <c r="CT172" s="3"/>
      <c r="CY172" s="3"/>
      <c r="CZ172" s="3"/>
      <c r="DB172" s="3"/>
      <c r="DC172" s="3"/>
    </row>
    <row r="173" spans="4:107" ht="16.2" x14ac:dyDescent="0.3">
      <c r="D173" s="3"/>
      <c r="E173" s="40"/>
      <c r="G173" s="3"/>
      <c r="H173" s="3"/>
      <c r="I173" s="3"/>
      <c r="M173"/>
      <c r="N173"/>
      <c r="O173"/>
      <c r="P173"/>
      <c r="Q173"/>
      <c r="R173"/>
      <c r="V173" s="3"/>
      <c r="W173" s="40"/>
      <c r="Y173" s="3"/>
      <c r="Z173" s="3"/>
      <c r="AA173" s="3"/>
      <c r="AE173" s="3"/>
      <c r="AF173" s="3"/>
      <c r="AH173" s="3"/>
      <c r="AI173" s="3"/>
      <c r="AJ173" s="3"/>
      <c r="AN173" s="3"/>
      <c r="AO173" s="3"/>
      <c r="AQ173" s="3"/>
      <c r="AR173" s="3"/>
      <c r="AW173" s="3"/>
      <c r="AX173" s="3"/>
      <c r="AZ173" s="3"/>
      <c r="BA173" s="3"/>
      <c r="BF173" s="3"/>
      <c r="BG173" s="3"/>
      <c r="BI173" s="3"/>
      <c r="BJ173" s="3"/>
      <c r="BO173" s="3"/>
      <c r="BP173" s="3"/>
      <c r="BR173" s="3"/>
      <c r="BS173" s="3"/>
      <c r="BX173" s="3"/>
      <c r="BY173" s="3"/>
      <c r="CA173" s="3"/>
      <c r="CB173" s="3"/>
      <c r="CC173" s="3"/>
      <c r="CG173" s="3"/>
      <c r="CH173" s="3"/>
      <c r="CJ173" s="3"/>
      <c r="CK173" s="3"/>
      <c r="CP173" s="3"/>
      <c r="CQ173" s="3"/>
      <c r="CS173" s="3"/>
      <c r="CT173" s="3"/>
      <c r="CY173" s="3"/>
      <c r="CZ173" s="3"/>
      <c r="DB173" s="3"/>
      <c r="DC173" s="3"/>
    </row>
    <row r="174" spans="4:107" ht="16.2" x14ac:dyDescent="0.3">
      <c r="D174" s="3"/>
      <c r="E174" s="40"/>
      <c r="G174" s="3"/>
      <c r="H174" s="3"/>
      <c r="I174" s="3"/>
      <c r="M174"/>
      <c r="N174"/>
      <c r="O174"/>
      <c r="P174"/>
      <c r="Q174"/>
      <c r="R174"/>
      <c r="V174" s="3"/>
      <c r="W174" s="40"/>
      <c r="Y174" s="3"/>
      <c r="Z174" s="3"/>
      <c r="AA174" s="3"/>
      <c r="AE174" s="3"/>
      <c r="AF174" s="3"/>
      <c r="AH174" s="3"/>
      <c r="AI174" s="3"/>
      <c r="AJ174" s="3"/>
      <c r="AN174" s="3"/>
      <c r="AO174" s="3"/>
      <c r="AQ174" s="3"/>
      <c r="AR174" s="3"/>
      <c r="AW174" s="3"/>
      <c r="AX174" s="3"/>
      <c r="AZ174" s="3"/>
      <c r="BA174" s="3"/>
      <c r="BF174" s="3"/>
      <c r="BG174" s="3"/>
      <c r="BI174" s="3"/>
      <c r="BJ174" s="3"/>
      <c r="BO174" s="3"/>
      <c r="BP174" s="3"/>
      <c r="BR174" s="3"/>
      <c r="BS174" s="3"/>
      <c r="BX174" s="3"/>
      <c r="BY174" s="3"/>
      <c r="CA174" s="3"/>
      <c r="CB174" s="3"/>
      <c r="CC174" s="3"/>
      <c r="CG174" s="3"/>
      <c r="CH174" s="3"/>
      <c r="CJ174" s="3"/>
      <c r="CK174" s="3"/>
      <c r="CP174" s="3"/>
      <c r="CQ174" s="3"/>
      <c r="CS174" s="3"/>
      <c r="CT174" s="3"/>
      <c r="CY174" s="3"/>
      <c r="CZ174" s="3"/>
      <c r="DB174" s="3"/>
      <c r="DC174" s="3"/>
    </row>
    <row r="175" spans="4:107" ht="16.2" x14ac:dyDescent="0.3">
      <c r="D175" s="3"/>
      <c r="E175" s="40"/>
      <c r="G175" s="3"/>
      <c r="H175" s="3"/>
      <c r="I175" s="3"/>
      <c r="M175"/>
      <c r="N175"/>
      <c r="O175"/>
      <c r="P175"/>
      <c r="Q175"/>
      <c r="R175"/>
      <c r="V175" s="3"/>
      <c r="W175" s="40"/>
      <c r="Y175" s="3"/>
      <c r="Z175" s="3"/>
      <c r="AA175" s="3"/>
      <c r="AE175" s="3"/>
      <c r="AF175" s="3"/>
      <c r="AH175" s="3"/>
      <c r="AI175" s="3"/>
      <c r="AJ175" s="3"/>
      <c r="AN175" s="3"/>
      <c r="AO175" s="3"/>
      <c r="AQ175" s="3"/>
      <c r="AR175" s="3"/>
      <c r="AW175" s="3"/>
      <c r="AX175" s="3"/>
      <c r="AZ175" s="3"/>
      <c r="BA175" s="3"/>
      <c r="BF175" s="3"/>
      <c r="BG175" s="3"/>
      <c r="BI175" s="3"/>
      <c r="BJ175" s="3"/>
      <c r="BO175" s="3"/>
      <c r="BP175" s="3"/>
      <c r="BR175" s="3"/>
      <c r="BS175" s="3"/>
      <c r="BX175" s="3"/>
      <c r="BY175" s="3"/>
      <c r="CA175" s="3"/>
      <c r="CB175" s="3"/>
      <c r="CC175" s="3"/>
      <c r="CG175" s="3"/>
      <c r="CH175" s="3"/>
      <c r="CJ175" s="3"/>
      <c r="CK175" s="3"/>
      <c r="CP175" s="3"/>
      <c r="CQ175" s="3"/>
      <c r="CS175" s="3"/>
      <c r="CT175" s="3"/>
      <c r="CY175" s="3"/>
      <c r="CZ175" s="3"/>
      <c r="DB175" s="3"/>
      <c r="DC175" s="3"/>
    </row>
    <row r="176" spans="4:107" ht="16.2" x14ac:dyDescent="0.3">
      <c r="D176" s="3"/>
      <c r="E176" s="40"/>
      <c r="G176" s="3"/>
      <c r="H176" s="3"/>
      <c r="I176" s="3"/>
      <c r="M176"/>
      <c r="N176"/>
      <c r="O176"/>
      <c r="P176"/>
      <c r="Q176"/>
      <c r="R176"/>
      <c r="V176" s="3"/>
      <c r="W176" s="40"/>
      <c r="Y176" s="3"/>
      <c r="Z176" s="3"/>
      <c r="AA176" s="3"/>
      <c r="AE176" s="3"/>
      <c r="AF176" s="3"/>
      <c r="AH176" s="3"/>
      <c r="AI176" s="3"/>
      <c r="AJ176" s="3"/>
      <c r="AN176" s="3"/>
      <c r="AO176" s="3"/>
      <c r="AQ176" s="3"/>
      <c r="AR176" s="3"/>
      <c r="AW176" s="3"/>
      <c r="AX176" s="3"/>
      <c r="AZ176" s="3"/>
      <c r="BA176" s="3"/>
      <c r="BF176" s="3"/>
      <c r="BG176" s="3"/>
      <c r="BI176" s="3"/>
      <c r="BJ176" s="3"/>
      <c r="BO176" s="3"/>
      <c r="BP176" s="3"/>
      <c r="BR176" s="3"/>
      <c r="BS176" s="3"/>
      <c r="BX176" s="3"/>
      <c r="BY176" s="3"/>
      <c r="CA176" s="3"/>
      <c r="CB176" s="3"/>
      <c r="CC176" s="3"/>
      <c r="CG176" s="3"/>
      <c r="CH176" s="3"/>
      <c r="CJ176" s="3"/>
      <c r="CK176" s="3"/>
      <c r="CP176" s="3"/>
      <c r="CQ176" s="3"/>
      <c r="CS176" s="3"/>
      <c r="CT176" s="3"/>
      <c r="CY176" s="3"/>
      <c r="CZ176" s="3"/>
      <c r="DB176" s="3"/>
      <c r="DC176" s="3"/>
    </row>
    <row r="177" spans="4:107" ht="16.2" x14ac:dyDescent="0.3">
      <c r="D177" s="3"/>
      <c r="E177" s="40"/>
      <c r="G177" s="3"/>
      <c r="H177" s="3"/>
      <c r="I177" s="3"/>
      <c r="M177"/>
      <c r="N177"/>
      <c r="O177"/>
      <c r="P177"/>
      <c r="Q177"/>
      <c r="R177"/>
      <c r="V177" s="3"/>
      <c r="W177" s="40"/>
      <c r="Y177" s="3"/>
      <c r="Z177" s="3"/>
      <c r="AA177" s="3"/>
      <c r="AE177" s="3"/>
      <c r="AF177" s="3"/>
      <c r="AH177" s="3"/>
      <c r="AI177" s="3"/>
      <c r="AJ177" s="3"/>
      <c r="AN177" s="3"/>
      <c r="AO177" s="3"/>
      <c r="AQ177" s="3"/>
      <c r="AR177" s="3"/>
      <c r="AW177" s="3"/>
      <c r="AX177" s="3"/>
      <c r="AZ177" s="3"/>
      <c r="BA177" s="3"/>
      <c r="BF177" s="3"/>
      <c r="BG177" s="3"/>
      <c r="BI177" s="3"/>
      <c r="BJ177" s="3"/>
      <c r="BO177" s="3"/>
      <c r="BP177" s="3"/>
      <c r="BR177" s="3"/>
      <c r="BS177" s="3"/>
      <c r="BX177" s="3"/>
      <c r="BY177" s="3"/>
      <c r="CA177" s="3"/>
      <c r="CB177" s="3"/>
      <c r="CC177" s="3"/>
      <c r="CG177" s="3"/>
      <c r="CH177" s="3"/>
      <c r="CJ177" s="3"/>
      <c r="CK177" s="3"/>
      <c r="CP177" s="3"/>
      <c r="CQ177" s="3"/>
      <c r="CS177" s="3"/>
      <c r="CT177" s="3"/>
      <c r="CY177" s="3"/>
      <c r="CZ177" s="3"/>
      <c r="DB177" s="3"/>
      <c r="DC177" s="3"/>
    </row>
    <row r="178" spans="4:107" ht="16.2" x14ac:dyDescent="0.3">
      <c r="D178" s="3"/>
      <c r="E178" s="40"/>
      <c r="G178" s="3"/>
      <c r="H178" s="3"/>
      <c r="I178" s="3"/>
      <c r="M178"/>
      <c r="N178"/>
      <c r="O178"/>
      <c r="P178"/>
      <c r="Q178"/>
      <c r="R178"/>
      <c r="V178" s="3"/>
      <c r="W178" s="40"/>
      <c r="Y178" s="3"/>
      <c r="Z178" s="3"/>
      <c r="AA178" s="3"/>
      <c r="AE178" s="3"/>
      <c r="AF178" s="3"/>
      <c r="AH178" s="3"/>
      <c r="AI178" s="3"/>
      <c r="AJ178" s="3"/>
      <c r="AN178" s="3"/>
      <c r="AO178" s="3"/>
      <c r="AQ178" s="3"/>
      <c r="AR178" s="3"/>
      <c r="AW178" s="3"/>
      <c r="AX178" s="3"/>
      <c r="AZ178" s="3"/>
      <c r="BA178" s="3"/>
      <c r="BF178" s="3"/>
      <c r="BG178" s="3"/>
      <c r="BI178" s="3"/>
      <c r="BJ178" s="3"/>
      <c r="BO178" s="3"/>
      <c r="BP178" s="3"/>
      <c r="BR178" s="3"/>
      <c r="BS178" s="3"/>
      <c r="BX178" s="3"/>
      <c r="BY178" s="3"/>
      <c r="CA178" s="3"/>
      <c r="CB178" s="3"/>
      <c r="CC178" s="3"/>
      <c r="CG178" s="3"/>
      <c r="CH178" s="3"/>
      <c r="CJ178" s="3"/>
      <c r="CK178" s="3"/>
      <c r="CP178" s="3"/>
      <c r="CQ178" s="3"/>
      <c r="CS178" s="3"/>
      <c r="CT178" s="3"/>
      <c r="CY178" s="3"/>
      <c r="CZ178" s="3"/>
      <c r="DB178" s="3"/>
      <c r="DC178" s="3"/>
    </row>
    <row r="179" spans="4:107" ht="16.2" x14ac:dyDescent="0.3">
      <c r="D179" s="3"/>
      <c r="E179" s="40"/>
      <c r="G179" s="3"/>
      <c r="H179" s="3"/>
      <c r="I179" s="3"/>
      <c r="M179"/>
      <c r="N179"/>
      <c r="O179"/>
      <c r="P179"/>
      <c r="Q179"/>
      <c r="R179"/>
      <c r="V179" s="3"/>
      <c r="W179" s="40"/>
      <c r="Y179" s="3"/>
      <c r="Z179" s="3"/>
      <c r="AA179" s="3"/>
      <c r="AE179" s="3"/>
      <c r="AF179" s="3"/>
      <c r="AH179" s="3"/>
      <c r="AI179" s="3"/>
      <c r="AJ179" s="3"/>
      <c r="AN179" s="3"/>
      <c r="AO179" s="3"/>
      <c r="AQ179" s="3"/>
      <c r="AR179" s="3"/>
      <c r="AW179" s="3"/>
      <c r="AX179" s="3"/>
      <c r="AZ179" s="3"/>
      <c r="BA179" s="3"/>
      <c r="BF179" s="3"/>
      <c r="BG179" s="3"/>
      <c r="BI179" s="3"/>
      <c r="BJ179" s="3"/>
      <c r="BO179" s="3"/>
      <c r="BP179" s="3"/>
      <c r="BR179" s="3"/>
      <c r="BS179" s="3"/>
      <c r="BX179" s="3"/>
      <c r="BY179" s="3"/>
      <c r="CA179" s="3"/>
      <c r="CB179" s="3"/>
      <c r="CC179" s="3"/>
      <c r="CG179" s="3"/>
      <c r="CH179" s="3"/>
      <c r="CJ179" s="3"/>
      <c r="CK179" s="3"/>
      <c r="CP179" s="3"/>
      <c r="CQ179" s="3"/>
      <c r="CS179" s="3"/>
      <c r="CT179" s="3"/>
      <c r="CY179" s="3"/>
      <c r="CZ179" s="3"/>
      <c r="DB179" s="3"/>
      <c r="DC179" s="3"/>
    </row>
    <row r="180" spans="4:107" ht="16.2" x14ac:dyDescent="0.3">
      <c r="D180" s="3"/>
      <c r="E180" s="40"/>
      <c r="G180" s="3"/>
      <c r="H180" s="3"/>
      <c r="I180" s="3"/>
      <c r="M180"/>
      <c r="N180"/>
      <c r="O180"/>
      <c r="P180"/>
      <c r="Q180"/>
      <c r="R180"/>
      <c r="V180" s="3"/>
      <c r="W180" s="40"/>
      <c r="Y180" s="3"/>
      <c r="Z180" s="3"/>
      <c r="AA180" s="3"/>
      <c r="AE180" s="3"/>
      <c r="AF180" s="3"/>
      <c r="AH180" s="3"/>
      <c r="AI180" s="3"/>
      <c r="AJ180" s="3"/>
      <c r="AN180" s="3"/>
      <c r="AO180" s="3"/>
      <c r="AQ180" s="3"/>
      <c r="AR180" s="3"/>
      <c r="AW180" s="3"/>
      <c r="AX180" s="3"/>
      <c r="AZ180" s="3"/>
      <c r="BA180" s="3"/>
      <c r="BF180" s="3"/>
      <c r="BG180" s="3"/>
      <c r="BI180" s="3"/>
      <c r="BJ180" s="3"/>
      <c r="BO180" s="3"/>
      <c r="BP180" s="3"/>
      <c r="BR180" s="3"/>
      <c r="BS180" s="3"/>
      <c r="BX180" s="3"/>
      <c r="BY180" s="3"/>
      <c r="CA180" s="3"/>
      <c r="CB180" s="3"/>
      <c r="CC180" s="3"/>
      <c r="CG180" s="3"/>
      <c r="CH180" s="3"/>
      <c r="CJ180" s="3"/>
      <c r="CK180" s="3"/>
      <c r="CP180" s="3"/>
      <c r="CQ180" s="3"/>
      <c r="CS180" s="3"/>
      <c r="CT180" s="3"/>
      <c r="CY180" s="3"/>
      <c r="CZ180" s="3"/>
      <c r="DB180" s="3"/>
      <c r="DC180" s="3"/>
    </row>
    <row r="181" spans="4:107" ht="16.2" x14ac:dyDescent="0.3">
      <c r="D181" s="3"/>
      <c r="E181" s="40"/>
      <c r="G181" s="3"/>
      <c r="H181" s="3"/>
      <c r="I181" s="3"/>
      <c r="M181"/>
      <c r="N181"/>
      <c r="O181"/>
      <c r="P181"/>
      <c r="Q181"/>
      <c r="R181"/>
      <c r="V181" s="3"/>
      <c r="W181" s="40"/>
      <c r="Y181" s="3"/>
      <c r="Z181" s="3"/>
      <c r="AA181" s="3"/>
      <c r="AE181" s="3"/>
      <c r="AF181" s="3"/>
      <c r="AH181" s="3"/>
      <c r="AI181" s="3"/>
      <c r="AJ181" s="3"/>
      <c r="AN181" s="3"/>
      <c r="AO181" s="3"/>
      <c r="AQ181" s="3"/>
      <c r="AR181" s="3"/>
      <c r="AW181" s="3"/>
      <c r="AX181" s="3"/>
      <c r="AZ181" s="3"/>
      <c r="BA181" s="3"/>
      <c r="BF181" s="3"/>
      <c r="BG181" s="3"/>
      <c r="BI181" s="3"/>
      <c r="BJ181" s="3"/>
      <c r="BO181" s="3"/>
      <c r="BP181" s="3"/>
      <c r="BR181" s="3"/>
      <c r="BS181" s="3"/>
      <c r="BX181" s="3"/>
      <c r="BY181" s="3"/>
      <c r="CA181" s="3"/>
      <c r="CB181" s="3"/>
      <c r="CC181" s="3"/>
      <c r="CG181" s="3"/>
      <c r="CH181" s="3"/>
      <c r="CJ181" s="3"/>
      <c r="CK181" s="3"/>
      <c r="CP181" s="3"/>
      <c r="CQ181" s="3"/>
      <c r="CS181" s="3"/>
      <c r="CT181" s="3"/>
      <c r="CY181" s="3"/>
      <c r="CZ181" s="3"/>
      <c r="DB181" s="3"/>
      <c r="DC181" s="3"/>
    </row>
    <row r="182" spans="4:107" ht="16.2" x14ac:dyDescent="0.3">
      <c r="D182" s="3"/>
      <c r="E182" s="40"/>
      <c r="G182" s="3"/>
      <c r="H182" s="3"/>
      <c r="I182" s="3"/>
      <c r="M182"/>
      <c r="N182"/>
      <c r="O182"/>
      <c r="P182"/>
      <c r="Q182"/>
      <c r="R182"/>
      <c r="V182" s="3"/>
      <c r="W182" s="40"/>
      <c r="Y182" s="3"/>
      <c r="Z182" s="3"/>
      <c r="AA182" s="3"/>
      <c r="AE182" s="3"/>
      <c r="AF182" s="3"/>
      <c r="AH182" s="3"/>
      <c r="AI182" s="3"/>
      <c r="AJ182" s="3"/>
      <c r="AN182" s="3"/>
      <c r="AO182" s="3"/>
      <c r="AQ182" s="3"/>
      <c r="AR182" s="3"/>
      <c r="AW182" s="3"/>
      <c r="AX182" s="3"/>
      <c r="AZ182" s="3"/>
      <c r="BA182" s="3"/>
      <c r="BF182" s="3"/>
      <c r="BG182" s="3"/>
      <c r="BI182" s="3"/>
      <c r="BJ182" s="3"/>
      <c r="BO182" s="3"/>
      <c r="BP182" s="3"/>
      <c r="BR182" s="3"/>
      <c r="BS182" s="3"/>
      <c r="BX182" s="3"/>
      <c r="BY182" s="3"/>
      <c r="CA182" s="3"/>
      <c r="CB182" s="3"/>
      <c r="CC182" s="3"/>
      <c r="CG182" s="3"/>
      <c r="CH182" s="3"/>
      <c r="CJ182" s="3"/>
      <c r="CK182" s="3"/>
      <c r="CP182" s="3"/>
      <c r="CQ182" s="3"/>
      <c r="CS182" s="3"/>
      <c r="CT182" s="3"/>
      <c r="CY182" s="3"/>
      <c r="CZ182" s="3"/>
      <c r="DB182" s="3"/>
      <c r="DC182" s="3"/>
    </row>
    <row r="183" spans="4:107" ht="16.2" x14ac:dyDescent="0.3">
      <c r="D183" s="3"/>
      <c r="E183" s="40"/>
      <c r="G183" s="3"/>
      <c r="H183" s="3"/>
      <c r="I183" s="3"/>
      <c r="M183"/>
      <c r="N183"/>
      <c r="O183"/>
      <c r="P183"/>
      <c r="Q183"/>
      <c r="R183"/>
      <c r="V183" s="3"/>
      <c r="W183" s="40"/>
      <c r="Y183" s="3"/>
      <c r="Z183" s="3"/>
      <c r="AA183" s="3"/>
      <c r="AE183" s="3"/>
      <c r="AF183" s="3"/>
      <c r="AH183" s="3"/>
      <c r="AI183" s="3"/>
      <c r="AJ183" s="3"/>
      <c r="AN183" s="3"/>
      <c r="AO183" s="3"/>
      <c r="AQ183" s="3"/>
      <c r="AR183" s="3"/>
      <c r="AW183" s="3"/>
      <c r="AX183" s="3"/>
      <c r="AZ183" s="3"/>
      <c r="BA183" s="3"/>
      <c r="BF183" s="3"/>
      <c r="BG183" s="3"/>
      <c r="BI183" s="3"/>
      <c r="BJ183" s="3"/>
      <c r="BO183" s="3"/>
      <c r="BP183" s="3"/>
      <c r="BR183" s="3"/>
      <c r="BS183" s="3"/>
      <c r="BX183" s="3"/>
      <c r="BY183" s="3"/>
      <c r="CA183" s="3"/>
      <c r="CB183" s="3"/>
      <c r="CC183" s="3"/>
      <c r="CG183" s="3"/>
      <c r="CH183" s="3"/>
      <c r="CJ183" s="3"/>
      <c r="CK183" s="3"/>
      <c r="CP183" s="3"/>
      <c r="CQ183" s="3"/>
      <c r="CS183" s="3"/>
      <c r="CT183" s="3"/>
      <c r="CY183" s="3"/>
      <c r="CZ183" s="3"/>
      <c r="DB183" s="3"/>
      <c r="DC183" s="3"/>
    </row>
    <row r="184" spans="4:107" ht="16.2" x14ac:dyDescent="0.3">
      <c r="D184" s="3"/>
      <c r="E184" s="40"/>
      <c r="G184" s="3"/>
      <c r="H184" s="3"/>
      <c r="I184" s="3"/>
      <c r="M184"/>
      <c r="N184"/>
      <c r="O184"/>
      <c r="P184"/>
      <c r="Q184"/>
      <c r="R184"/>
      <c r="V184" s="3"/>
      <c r="W184" s="40"/>
      <c r="Y184" s="3"/>
      <c r="Z184" s="3"/>
      <c r="AA184" s="3"/>
      <c r="AE184" s="3"/>
      <c r="AF184" s="3"/>
      <c r="AH184" s="3"/>
      <c r="AI184" s="3"/>
      <c r="AJ184" s="3"/>
      <c r="AN184" s="3"/>
      <c r="AO184" s="3"/>
      <c r="AQ184" s="3"/>
      <c r="AR184" s="3"/>
      <c r="AW184" s="3"/>
      <c r="AX184" s="3"/>
      <c r="AZ184" s="3"/>
      <c r="BA184" s="3"/>
      <c r="BF184" s="3"/>
      <c r="BG184" s="3"/>
      <c r="BI184" s="3"/>
      <c r="BJ184" s="3"/>
      <c r="BO184" s="3"/>
      <c r="BP184" s="3"/>
      <c r="BR184" s="3"/>
      <c r="BS184" s="3"/>
      <c r="BX184" s="3"/>
      <c r="BY184" s="3"/>
      <c r="CA184" s="3"/>
      <c r="CB184" s="3"/>
      <c r="CC184" s="3"/>
      <c r="CG184" s="3"/>
      <c r="CH184" s="3"/>
      <c r="CJ184" s="3"/>
      <c r="CK184" s="3"/>
      <c r="CP184" s="3"/>
      <c r="CQ184" s="3"/>
      <c r="CS184" s="3"/>
      <c r="CT184" s="3"/>
      <c r="CY184" s="3"/>
      <c r="CZ184" s="3"/>
      <c r="DB184" s="3"/>
      <c r="DC184" s="3"/>
    </row>
    <row r="185" spans="4:107" ht="16.2" x14ac:dyDescent="0.3">
      <c r="D185" s="3"/>
      <c r="E185" s="40"/>
      <c r="G185" s="3"/>
      <c r="H185" s="3"/>
      <c r="I185" s="3"/>
      <c r="M185"/>
      <c r="N185"/>
      <c r="O185"/>
      <c r="P185"/>
      <c r="Q185"/>
      <c r="R185"/>
      <c r="V185" s="3"/>
      <c r="W185" s="40"/>
      <c r="Y185" s="3"/>
      <c r="Z185" s="3"/>
      <c r="AA185" s="3"/>
      <c r="AE185" s="3"/>
      <c r="AF185" s="3"/>
      <c r="AH185" s="3"/>
      <c r="AI185" s="3"/>
      <c r="AJ185" s="3"/>
      <c r="AN185" s="3"/>
      <c r="AO185" s="3"/>
      <c r="AQ185" s="3"/>
      <c r="AR185" s="3"/>
      <c r="AW185" s="3"/>
      <c r="AX185" s="3"/>
      <c r="AZ185" s="3"/>
      <c r="BA185" s="3"/>
      <c r="BF185" s="3"/>
      <c r="BG185" s="3"/>
      <c r="BI185" s="3"/>
      <c r="BJ185" s="3"/>
      <c r="BO185" s="3"/>
      <c r="BP185" s="3"/>
      <c r="BR185" s="3"/>
      <c r="BS185" s="3"/>
      <c r="BX185" s="3"/>
      <c r="BY185" s="3"/>
      <c r="CA185" s="3"/>
      <c r="CB185" s="3"/>
      <c r="CC185" s="3"/>
      <c r="CG185" s="3"/>
      <c r="CH185" s="3"/>
      <c r="CJ185" s="3"/>
      <c r="CK185" s="3"/>
      <c r="CP185" s="3"/>
      <c r="CQ185" s="3"/>
      <c r="CS185" s="3"/>
      <c r="CT185" s="3"/>
      <c r="CY185" s="3"/>
      <c r="CZ185" s="3"/>
      <c r="DB185" s="3"/>
      <c r="DC185" s="3"/>
    </row>
    <row r="186" spans="4:107" ht="16.2" x14ac:dyDescent="0.3">
      <c r="D186" s="3"/>
      <c r="E186" s="40"/>
      <c r="G186" s="3"/>
      <c r="H186" s="3"/>
      <c r="I186" s="3"/>
      <c r="M186"/>
      <c r="N186"/>
      <c r="O186"/>
      <c r="P186"/>
      <c r="Q186"/>
      <c r="R186"/>
      <c r="V186" s="3"/>
      <c r="W186" s="40"/>
      <c r="Y186" s="3"/>
      <c r="Z186" s="3"/>
      <c r="AA186" s="3"/>
      <c r="AE186" s="3"/>
      <c r="AF186" s="3"/>
      <c r="AH186" s="3"/>
      <c r="AI186" s="3"/>
      <c r="AJ186" s="3"/>
      <c r="AN186" s="3"/>
      <c r="AO186" s="3"/>
      <c r="AQ186" s="3"/>
      <c r="AR186" s="3"/>
      <c r="AW186" s="3"/>
      <c r="AX186" s="3"/>
      <c r="AZ186" s="3"/>
      <c r="BA186" s="3"/>
      <c r="BF186" s="3"/>
      <c r="BG186" s="3"/>
      <c r="BI186" s="3"/>
      <c r="BJ186" s="3"/>
      <c r="BO186" s="3"/>
      <c r="BP186" s="3"/>
      <c r="BR186" s="3"/>
      <c r="BS186" s="3"/>
      <c r="BX186" s="3"/>
      <c r="BY186" s="3"/>
      <c r="CA186" s="3"/>
      <c r="CB186" s="3"/>
      <c r="CC186" s="3"/>
      <c r="CG186" s="3"/>
      <c r="CH186" s="3"/>
      <c r="CJ186" s="3"/>
      <c r="CK186" s="3"/>
      <c r="CP186" s="3"/>
      <c r="CQ186" s="3"/>
      <c r="CS186" s="3"/>
      <c r="CT186" s="3"/>
      <c r="CY186" s="3"/>
      <c r="CZ186" s="3"/>
      <c r="DB186" s="3"/>
      <c r="DC186" s="3"/>
    </row>
    <row r="187" spans="4:107" ht="16.2" x14ac:dyDescent="0.3">
      <c r="D187" s="3"/>
      <c r="E187" s="40"/>
      <c r="G187" s="3"/>
      <c r="H187" s="3"/>
      <c r="I187" s="3"/>
      <c r="M187"/>
      <c r="N187"/>
      <c r="O187"/>
      <c r="P187"/>
      <c r="Q187"/>
      <c r="R187"/>
      <c r="V187" s="3"/>
      <c r="W187" s="40"/>
      <c r="Y187" s="3"/>
      <c r="Z187" s="3"/>
      <c r="AA187" s="3"/>
      <c r="AE187" s="3"/>
      <c r="AF187" s="3"/>
      <c r="AH187" s="3"/>
      <c r="AI187" s="3"/>
      <c r="AJ187" s="3"/>
      <c r="AN187" s="3"/>
      <c r="AO187" s="3"/>
      <c r="AQ187" s="3"/>
      <c r="AR187" s="3"/>
      <c r="AW187" s="3"/>
      <c r="AX187" s="3"/>
      <c r="AZ187" s="3"/>
      <c r="BA187" s="3"/>
      <c r="BF187" s="3"/>
      <c r="BG187" s="3"/>
      <c r="BI187" s="3"/>
      <c r="BJ187" s="3"/>
      <c r="BO187" s="3"/>
      <c r="BP187" s="3"/>
      <c r="BR187" s="3"/>
      <c r="BS187" s="3"/>
      <c r="BX187" s="3"/>
      <c r="BY187" s="3"/>
      <c r="CA187" s="3"/>
      <c r="CB187" s="3"/>
      <c r="CC187" s="3"/>
      <c r="CG187" s="3"/>
      <c r="CH187" s="3"/>
      <c r="CJ187" s="3"/>
      <c r="CK187" s="3"/>
      <c r="CP187" s="3"/>
      <c r="CQ187" s="3"/>
      <c r="CS187" s="3"/>
      <c r="CT187" s="3"/>
      <c r="CY187" s="3"/>
      <c r="CZ187" s="3"/>
      <c r="DB187" s="3"/>
      <c r="DC187" s="3"/>
    </row>
    <row r="188" spans="4:107" ht="16.2" x14ac:dyDescent="0.3">
      <c r="D188" s="3"/>
      <c r="E188" s="40"/>
      <c r="G188" s="3"/>
      <c r="H188" s="3"/>
      <c r="I188" s="3"/>
      <c r="M188"/>
      <c r="N188"/>
      <c r="O188"/>
      <c r="P188"/>
      <c r="Q188"/>
      <c r="R188"/>
      <c r="V188" s="3"/>
      <c r="W188" s="40"/>
      <c r="Y188" s="3"/>
      <c r="Z188" s="3"/>
      <c r="AA188" s="3"/>
      <c r="AE188" s="3"/>
      <c r="AF188" s="3"/>
      <c r="AH188" s="3"/>
      <c r="AI188" s="3"/>
      <c r="AJ188" s="3"/>
      <c r="AN188" s="3"/>
      <c r="AO188" s="3"/>
      <c r="AQ188" s="3"/>
      <c r="AR188" s="3"/>
      <c r="AW188" s="3"/>
      <c r="AX188" s="3"/>
      <c r="AZ188" s="3"/>
      <c r="BA188" s="3"/>
      <c r="BF188" s="3"/>
      <c r="BG188" s="3"/>
      <c r="BI188" s="3"/>
      <c r="BJ188" s="3"/>
      <c r="BO188" s="3"/>
      <c r="BP188" s="3"/>
      <c r="BR188" s="3"/>
      <c r="BS188" s="3"/>
      <c r="BX188" s="3"/>
      <c r="BY188" s="3"/>
      <c r="CA188" s="3"/>
      <c r="CB188" s="3"/>
      <c r="CC188" s="3"/>
      <c r="CG188" s="3"/>
      <c r="CH188" s="3"/>
      <c r="CJ188" s="3"/>
      <c r="CK188" s="3"/>
      <c r="CP188" s="3"/>
      <c r="CQ188" s="3"/>
      <c r="CS188" s="3"/>
      <c r="CT188" s="3"/>
      <c r="CY188" s="3"/>
      <c r="CZ188" s="3"/>
      <c r="DB188" s="3"/>
      <c r="DC188" s="3"/>
    </row>
    <row r="189" spans="4:107" ht="16.2" x14ac:dyDescent="0.3">
      <c r="D189" s="3"/>
      <c r="E189" s="40"/>
      <c r="G189" s="3"/>
      <c r="H189" s="3"/>
      <c r="I189" s="3"/>
      <c r="M189"/>
      <c r="N189"/>
      <c r="O189"/>
      <c r="P189"/>
      <c r="Q189"/>
      <c r="R189"/>
      <c r="V189" s="3"/>
      <c r="W189" s="40"/>
      <c r="Y189" s="3"/>
      <c r="Z189" s="3"/>
      <c r="AA189" s="3"/>
      <c r="AE189" s="3"/>
      <c r="AF189" s="3"/>
      <c r="AH189" s="3"/>
      <c r="AI189" s="3"/>
      <c r="AJ189" s="3"/>
      <c r="AN189" s="3"/>
      <c r="AO189" s="3"/>
      <c r="AQ189" s="3"/>
      <c r="AR189" s="3"/>
      <c r="AW189" s="3"/>
      <c r="AX189" s="3"/>
      <c r="AZ189" s="3"/>
      <c r="BA189" s="3"/>
      <c r="BF189" s="3"/>
      <c r="BG189" s="3"/>
      <c r="BI189" s="3"/>
      <c r="BJ189" s="3"/>
      <c r="BO189" s="3"/>
      <c r="BP189" s="3"/>
      <c r="BR189" s="3"/>
      <c r="BS189" s="3"/>
      <c r="BX189" s="3"/>
      <c r="BY189" s="3"/>
      <c r="CA189" s="3"/>
      <c r="CB189" s="3"/>
      <c r="CC189" s="3"/>
      <c r="CG189" s="3"/>
      <c r="CH189" s="3"/>
      <c r="CJ189" s="3"/>
      <c r="CK189" s="3"/>
      <c r="CP189" s="3"/>
      <c r="CQ189" s="3"/>
      <c r="CS189" s="3"/>
      <c r="CT189" s="3"/>
      <c r="CY189" s="3"/>
      <c r="CZ189" s="3"/>
      <c r="DB189" s="3"/>
      <c r="DC189" s="3"/>
    </row>
    <row r="190" spans="4:107" ht="16.2" x14ac:dyDescent="0.3">
      <c r="D190" s="3"/>
      <c r="E190" s="40"/>
      <c r="G190" s="3"/>
      <c r="H190" s="3"/>
      <c r="I190" s="3"/>
      <c r="M190"/>
      <c r="N190"/>
      <c r="O190"/>
      <c r="P190"/>
      <c r="Q190"/>
      <c r="R190"/>
      <c r="V190" s="3"/>
      <c r="W190" s="40"/>
      <c r="Y190" s="3"/>
      <c r="Z190" s="3"/>
      <c r="AA190" s="3"/>
      <c r="AE190" s="3"/>
      <c r="AF190" s="3"/>
      <c r="AH190" s="3"/>
      <c r="AI190" s="3"/>
      <c r="AJ190" s="3"/>
      <c r="AN190" s="3"/>
      <c r="AO190" s="3"/>
      <c r="AQ190" s="3"/>
      <c r="AR190" s="3"/>
      <c r="AW190" s="3"/>
      <c r="AX190" s="3"/>
      <c r="AZ190" s="3"/>
      <c r="BA190" s="3"/>
      <c r="BF190" s="3"/>
      <c r="BG190" s="3"/>
      <c r="BI190" s="3"/>
      <c r="BJ190" s="3"/>
      <c r="BO190" s="3"/>
      <c r="BP190" s="3"/>
      <c r="BR190" s="3"/>
      <c r="BS190" s="3"/>
      <c r="BX190" s="3"/>
      <c r="BY190" s="3"/>
      <c r="CA190" s="3"/>
      <c r="CB190" s="3"/>
      <c r="CC190" s="3"/>
      <c r="CG190" s="3"/>
      <c r="CH190" s="3"/>
      <c r="CJ190" s="3"/>
      <c r="CK190" s="3"/>
      <c r="CP190" s="3"/>
      <c r="CQ190" s="3"/>
      <c r="CS190" s="3"/>
      <c r="CT190" s="3"/>
      <c r="CY190" s="3"/>
      <c r="CZ190" s="3"/>
      <c r="DB190" s="3"/>
      <c r="DC190" s="3"/>
    </row>
    <row r="191" spans="4:107" ht="16.2" x14ac:dyDescent="0.3">
      <c r="D191" s="3"/>
      <c r="E191" s="40"/>
      <c r="G191" s="3"/>
      <c r="H191" s="3"/>
      <c r="I191" s="3"/>
      <c r="M191"/>
      <c r="N191"/>
      <c r="O191"/>
      <c r="P191"/>
      <c r="Q191"/>
      <c r="R191"/>
      <c r="V191" s="3"/>
      <c r="W191" s="40"/>
      <c r="Y191" s="3"/>
      <c r="Z191" s="3"/>
      <c r="AA191" s="3"/>
      <c r="AE191" s="3"/>
      <c r="AF191" s="3"/>
      <c r="AH191" s="3"/>
      <c r="AI191" s="3"/>
      <c r="AJ191" s="3"/>
      <c r="AN191" s="3"/>
      <c r="AO191" s="3"/>
      <c r="AQ191" s="3"/>
      <c r="AR191" s="3"/>
      <c r="AW191" s="3"/>
      <c r="AX191" s="3"/>
      <c r="AZ191" s="3"/>
      <c r="BA191" s="3"/>
      <c r="BF191" s="3"/>
      <c r="BG191" s="3"/>
      <c r="BI191" s="3"/>
      <c r="BJ191" s="3"/>
      <c r="BO191" s="3"/>
      <c r="BP191" s="3"/>
      <c r="BR191" s="3"/>
      <c r="BS191" s="3"/>
      <c r="BX191" s="3"/>
      <c r="BY191" s="3"/>
      <c r="CA191" s="3"/>
      <c r="CB191" s="3"/>
      <c r="CC191" s="3"/>
      <c r="CG191" s="3"/>
      <c r="CH191" s="3"/>
      <c r="CJ191" s="3"/>
      <c r="CK191" s="3"/>
      <c r="CP191" s="3"/>
      <c r="CQ191" s="3"/>
      <c r="CS191" s="3"/>
      <c r="CT191" s="3"/>
      <c r="CY191" s="3"/>
      <c r="CZ191" s="3"/>
      <c r="DB191" s="3"/>
      <c r="DC191" s="3"/>
    </row>
    <row r="192" spans="4:107" ht="16.2" x14ac:dyDescent="0.3">
      <c r="D192" s="3"/>
      <c r="E192" s="40"/>
      <c r="G192" s="3"/>
      <c r="H192" s="3"/>
      <c r="I192" s="3"/>
      <c r="M192"/>
      <c r="N192"/>
      <c r="O192"/>
      <c r="P192"/>
      <c r="Q192"/>
      <c r="R192"/>
      <c r="V192" s="3"/>
      <c r="W192" s="40"/>
      <c r="Y192" s="3"/>
      <c r="Z192" s="3"/>
      <c r="AA192" s="3"/>
      <c r="AE192" s="3"/>
      <c r="AF192" s="3"/>
      <c r="AH192" s="3"/>
      <c r="AI192" s="3"/>
      <c r="AJ192" s="3"/>
      <c r="AN192" s="3"/>
      <c r="AO192" s="3"/>
      <c r="AQ192" s="3"/>
      <c r="AR192" s="3"/>
      <c r="AW192" s="3"/>
      <c r="AX192" s="3"/>
      <c r="AZ192" s="3"/>
      <c r="BA192" s="3"/>
      <c r="BF192" s="3"/>
      <c r="BG192" s="3"/>
      <c r="BI192" s="3"/>
      <c r="BJ192" s="3"/>
      <c r="BO192" s="3"/>
      <c r="BP192" s="3"/>
      <c r="BR192" s="3"/>
      <c r="BS192" s="3"/>
      <c r="BX192" s="3"/>
      <c r="BY192" s="3"/>
      <c r="CA192" s="3"/>
      <c r="CB192" s="3"/>
      <c r="CC192" s="3"/>
      <c r="CG192" s="3"/>
      <c r="CH192" s="3"/>
      <c r="CJ192" s="3"/>
      <c r="CK192" s="3"/>
      <c r="CP192" s="3"/>
      <c r="CQ192" s="3"/>
      <c r="CS192" s="3"/>
      <c r="CT192" s="3"/>
      <c r="CY192" s="3"/>
      <c r="CZ192" s="3"/>
      <c r="DB192" s="3"/>
      <c r="DC192" s="3"/>
    </row>
    <row r="193" spans="4:107" ht="16.2" x14ac:dyDescent="0.3">
      <c r="D193" s="3"/>
      <c r="E193" s="40"/>
      <c r="G193" s="3"/>
      <c r="H193" s="3"/>
      <c r="I193" s="3"/>
      <c r="M193"/>
      <c r="N193"/>
      <c r="O193"/>
      <c r="P193"/>
      <c r="Q193"/>
      <c r="R193"/>
      <c r="V193" s="3"/>
      <c r="W193" s="40"/>
      <c r="Y193" s="3"/>
      <c r="Z193" s="3"/>
      <c r="AA193" s="3"/>
      <c r="AE193" s="3"/>
      <c r="AF193" s="3"/>
      <c r="AH193" s="3"/>
      <c r="AI193" s="3"/>
      <c r="AJ193" s="3"/>
      <c r="AN193" s="3"/>
      <c r="AO193" s="3"/>
      <c r="AQ193" s="3"/>
      <c r="AR193" s="3"/>
      <c r="AW193" s="3"/>
      <c r="AX193" s="3"/>
      <c r="AZ193" s="3"/>
      <c r="BA193" s="3"/>
      <c r="BF193" s="3"/>
      <c r="BG193" s="3"/>
      <c r="BI193" s="3"/>
      <c r="BJ193" s="3"/>
      <c r="BO193" s="3"/>
      <c r="BP193" s="3"/>
      <c r="BR193" s="3"/>
      <c r="BS193" s="3"/>
      <c r="BX193" s="3"/>
      <c r="BY193" s="3"/>
      <c r="CA193" s="3"/>
      <c r="CB193" s="3"/>
      <c r="CC193" s="3"/>
      <c r="CG193" s="3"/>
      <c r="CH193" s="3"/>
      <c r="CJ193" s="3"/>
      <c r="CK193" s="3"/>
      <c r="CP193" s="3"/>
      <c r="CQ193" s="3"/>
      <c r="CS193" s="3"/>
      <c r="CT193" s="3"/>
      <c r="CY193" s="3"/>
      <c r="CZ193" s="3"/>
      <c r="DB193" s="3"/>
      <c r="DC193" s="3"/>
    </row>
    <row r="194" spans="4:107" ht="16.2" x14ac:dyDescent="0.3">
      <c r="D194" s="3"/>
      <c r="E194" s="40"/>
      <c r="G194" s="3"/>
      <c r="H194" s="3"/>
      <c r="I194" s="3"/>
      <c r="M194"/>
      <c r="N194"/>
      <c r="O194"/>
      <c r="P194"/>
      <c r="Q194"/>
      <c r="R194"/>
      <c r="V194" s="3"/>
      <c r="W194" s="40"/>
      <c r="Y194" s="3"/>
      <c r="Z194" s="3"/>
      <c r="AA194" s="3"/>
      <c r="AE194" s="3"/>
      <c r="AF194" s="3"/>
      <c r="AH194" s="3"/>
      <c r="AI194" s="3"/>
      <c r="AJ194" s="3"/>
      <c r="AN194" s="3"/>
      <c r="AO194" s="3"/>
      <c r="AQ194" s="3"/>
      <c r="AR194" s="3"/>
      <c r="AW194" s="3"/>
      <c r="AX194" s="3"/>
      <c r="AZ194" s="3"/>
      <c r="BA194" s="3"/>
      <c r="BF194" s="3"/>
      <c r="BG194" s="3"/>
      <c r="BI194" s="3"/>
      <c r="BJ194" s="3"/>
      <c r="BO194" s="3"/>
      <c r="BP194" s="3"/>
      <c r="BR194" s="3"/>
      <c r="BS194" s="3"/>
      <c r="BX194" s="3"/>
      <c r="BY194" s="3"/>
      <c r="CA194" s="3"/>
      <c r="CB194" s="3"/>
      <c r="CC194" s="3"/>
      <c r="CG194" s="3"/>
      <c r="CH194" s="3"/>
      <c r="CJ194" s="3"/>
      <c r="CK194" s="3"/>
      <c r="CP194" s="3"/>
      <c r="CQ194" s="3"/>
      <c r="CS194" s="3"/>
      <c r="CT194" s="3"/>
      <c r="CY194" s="3"/>
      <c r="CZ194" s="3"/>
      <c r="DB194" s="3"/>
      <c r="DC194" s="3"/>
    </row>
    <row r="195" spans="4:107" ht="16.2" x14ac:dyDescent="0.3">
      <c r="D195" s="3"/>
      <c r="E195" s="40"/>
      <c r="G195" s="3"/>
      <c r="H195" s="3"/>
      <c r="I195" s="3"/>
      <c r="M195"/>
      <c r="N195"/>
      <c r="O195"/>
      <c r="P195"/>
      <c r="Q195"/>
      <c r="R195"/>
      <c r="V195" s="3"/>
      <c r="W195" s="40"/>
      <c r="Y195" s="3"/>
      <c r="Z195" s="3"/>
      <c r="AA195" s="3"/>
      <c r="AE195" s="3"/>
      <c r="AF195" s="3"/>
      <c r="AH195" s="3"/>
      <c r="AI195" s="3"/>
      <c r="AJ195" s="3"/>
      <c r="AN195" s="3"/>
      <c r="AO195" s="3"/>
      <c r="AQ195" s="3"/>
      <c r="AR195" s="3"/>
      <c r="AW195" s="3"/>
      <c r="AX195" s="3"/>
      <c r="AZ195" s="3"/>
      <c r="BA195" s="3"/>
      <c r="BF195" s="3"/>
      <c r="BG195" s="3"/>
      <c r="BI195" s="3"/>
      <c r="BJ195" s="3"/>
      <c r="BO195" s="3"/>
      <c r="BP195" s="3"/>
      <c r="BR195" s="3"/>
      <c r="BS195" s="3"/>
      <c r="BX195" s="3"/>
      <c r="BY195" s="3"/>
      <c r="CA195" s="3"/>
      <c r="CB195" s="3"/>
      <c r="CC195" s="3"/>
      <c r="CG195" s="3"/>
      <c r="CH195" s="3"/>
      <c r="CJ195" s="3"/>
      <c r="CK195" s="3"/>
      <c r="CP195" s="3"/>
      <c r="CQ195" s="3"/>
      <c r="CS195" s="3"/>
      <c r="CT195" s="3"/>
      <c r="CY195" s="3"/>
      <c r="CZ195" s="3"/>
      <c r="DB195" s="3"/>
      <c r="DC195" s="3"/>
    </row>
    <row r="196" spans="4:107" ht="16.2" x14ac:dyDescent="0.3">
      <c r="D196" s="3"/>
      <c r="E196" s="40"/>
      <c r="G196" s="3"/>
      <c r="H196" s="3"/>
      <c r="I196" s="3"/>
      <c r="M196"/>
      <c r="N196"/>
      <c r="O196"/>
      <c r="P196"/>
      <c r="Q196"/>
      <c r="R196"/>
      <c r="V196" s="3"/>
      <c r="W196" s="40"/>
      <c r="Y196" s="3"/>
      <c r="Z196" s="3"/>
      <c r="AA196" s="3"/>
      <c r="AE196" s="3"/>
      <c r="AF196" s="3"/>
      <c r="AH196" s="3"/>
      <c r="AI196" s="3"/>
      <c r="AJ196" s="3"/>
      <c r="AN196" s="3"/>
      <c r="AO196" s="3"/>
      <c r="AQ196" s="3"/>
      <c r="AR196" s="3"/>
      <c r="AW196" s="3"/>
      <c r="AX196" s="3"/>
      <c r="AZ196" s="3"/>
      <c r="BA196" s="3"/>
      <c r="BF196" s="3"/>
      <c r="BG196" s="3"/>
      <c r="BI196" s="3"/>
      <c r="BJ196" s="3"/>
      <c r="BO196" s="3"/>
      <c r="BP196" s="3"/>
      <c r="BR196" s="3"/>
      <c r="BS196" s="3"/>
      <c r="BX196" s="3"/>
      <c r="BY196" s="3"/>
      <c r="CA196" s="3"/>
      <c r="CB196" s="3"/>
      <c r="CC196" s="3"/>
      <c r="CG196" s="3"/>
      <c r="CH196" s="3"/>
      <c r="CJ196" s="3"/>
      <c r="CK196" s="3"/>
      <c r="CP196" s="3"/>
      <c r="CQ196" s="3"/>
      <c r="CS196" s="3"/>
      <c r="CT196" s="3"/>
      <c r="CY196" s="3"/>
      <c r="CZ196" s="3"/>
      <c r="DB196" s="3"/>
      <c r="DC196" s="3"/>
    </row>
    <row r="197" spans="4:107" ht="16.2" x14ac:dyDescent="0.3">
      <c r="D197" s="3"/>
      <c r="E197" s="40"/>
      <c r="G197" s="3"/>
      <c r="H197" s="3"/>
      <c r="I197" s="3"/>
      <c r="M197"/>
      <c r="N197"/>
      <c r="O197"/>
      <c r="P197"/>
      <c r="Q197"/>
      <c r="R197"/>
      <c r="V197" s="3"/>
      <c r="W197" s="40"/>
      <c r="Y197" s="3"/>
      <c r="Z197" s="3"/>
      <c r="AA197" s="3"/>
      <c r="AE197" s="3"/>
      <c r="AF197" s="3"/>
      <c r="AH197" s="3"/>
      <c r="AI197" s="3"/>
      <c r="AJ197" s="3"/>
      <c r="AN197" s="3"/>
      <c r="AO197" s="3"/>
      <c r="AQ197" s="3"/>
      <c r="AR197" s="3"/>
      <c r="AW197" s="3"/>
      <c r="AX197" s="3"/>
      <c r="AZ197" s="3"/>
      <c r="BA197" s="3"/>
      <c r="BF197" s="3"/>
      <c r="BG197" s="3"/>
      <c r="BI197" s="3"/>
      <c r="BJ197" s="3"/>
      <c r="BO197" s="3"/>
      <c r="BP197" s="3"/>
      <c r="BR197" s="3"/>
      <c r="BS197" s="3"/>
      <c r="BX197" s="3"/>
      <c r="BY197" s="3"/>
      <c r="CA197" s="3"/>
      <c r="CB197" s="3"/>
      <c r="CC197" s="3"/>
      <c r="CG197" s="3"/>
      <c r="CH197" s="3"/>
      <c r="CJ197" s="3"/>
      <c r="CK197" s="3"/>
      <c r="CP197" s="3"/>
      <c r="CQ197" s="3"/>
      <c r="CS197" s="3"/>
      <c r="CT197" s="3"/>
      <c r="CY197" s="3"/>
      <c r="CZ197" s="3"/>
      <c r="DB197" s="3"/>
      <c r="DC197" s="3"/>
    </row>
    <row r="198" spans="4:107" ht="16.2" x14ac:dyDescent="0.3">
      <c r="D198" s="3"/>
      <c r="E198" s="40"/>
      <c r="G198" s="3"/>
      <c r="H198" s="3"/>
      <c r="I198" s="3"/>
      <c r="M198"/>
      <c r="N198"/>
      <c r="O198"/>
      <c r="P198"/>
      <c r="Q198"/>
      <c r="R198"/>
      <c r="V198" s="3"/>
      <c r="W198" s="40"/>
      <c r="Y198" s="3"/>
      <c r="Z198" s="3"/>
      <c r="AA198" s="3"/>
      <c r="AE198" s="3"/>
      <c r="AF198" s="3"/>
      <c r="AH198" s="3"/>
      <c r="AI198" s="3"/>
      <c r="AJ198" s="3"/>
      <c r="AN198" s="3"/>
      <c r="AO198" s="3"/>
      <c r="AQ198" s="3"/>
      <c r="AR198" s="3"/>
      <c r="AW198" s="3"/>
      <c r="AX198" s="3"/>
      <c r="AZ198" s="3"/>
      <c r="BA198" s="3"/>
      <c r="BF198" s="3"/>
      <c r="BG198" s="3"/>
      <c r="BI198" s="3"/>
      <c r="BJ198" s="3"/>
      <c r="BO198" s="3"/>
      <c r="BP198" s="3"/>
      <c r="BR198" s="3"/>
      <c r="BS198" s="3"/>
      <c r="BX198" s="3"/>
      <c r="BY198" s="3"/>
      <c r="CA198" s="3"/>
      <c r="CB198" s="3"/>
      <c r="CC198" s="3"/>
      <c r="CG198" s="3"/>
      <c r="CH198" s="3"/>
      <c r="CJ198" s="3"/>
      <c r="CK198" s="3"/>
      <c r="CP198" s="3"/>
      <c r="CQ198" s="3"/>
      <c r="CS198" s="3"/>
      <c r="CT198" s="3"/>
      <c r="CY198" s="3"/>
      <c r="CZ198" s="3"/>
      <c r="DB198" s="3"/>
      <c r="DC198" s="3"/>
    </row>
    <row r="199" spans="4:107" ht="16.2" x14ac:dyDescent="0.3">
      <c r="D199" s="3"/>
      <c r="E199" s="40"/>
      <c r="G199" s="3"/>
      <c r="H199" s="3"/>
      <c r="I199" s="3"/>
      <c r="M199"/>
      <c r="N199"/>
      <c r="O199"/>
      <c r="P199"/>
      <c r="Q199"/>
      <c r="R199"/>
      <c r="V199" s="3"/>
      <c r="W199" s="40"/>
      <c r="Y199" s="3"/>
      <c r="Z199" s="3"/>
      <c r="AA199" s="3"/>
      <c r="AE199" s="3"/>
      <c r="AF199" s="3"/>
      <c r="AH199" s="3"/>
      <c r="AI199" s="3"/>
      <c r="AJ199" s="3"/>
      <c r="AN199" s="3"/>
      <c r="AO199" s="3"/>
      <c r="AQ199" s="3"/>
      <c r="AR199" s="3"/>
      <c r="AW199" s="3"/>
      <c r="AX199" s="3"/>
      <c r="AZ199" s="3"/>
      <c r="BA199" s="3"/>
      <c r="BF199" s="3"/>
      <c r="BG199" s="3"/>
      <c r="BI199" s="3"/>
      <c r="BJ199" s="3"/>
      <c r="BO199" s="3"/>
      <c r="BP199" s="3"/>
      <c r="BR199" s="3"/>
      <c r="BS199" s="3"/>
      <c r="BX199" s="3"/>
      <c r="BY199" s="3"/>
      <c r="CA199" s="3"/>
      <c r="CB199" s="3"/>
      <c r="CC199" s="3"/>
      <c r="CG199" s="3"/>
      <c r="CH199" s="3"/>
      <c r="CJ199" s="3"/>
      <c r="CK199" s="3"/>
      <c r="CP199" s="3"/>
      <c r="CQ199" s="3"/>
      <c r="CS199" s="3"/>
      <c r="CT199" s="3"/>
      <c r="CY199" s="3"/>
      <c r="CZ199" s="3"/>
      <c r="DB199" s="3"/>
      <c r="DC199" s="3"/>
    </row>
    <row r="200" spans="4:107" ht="16.2" x14ac:dyDescent="0.3">
      <c r="D200" s="3"/>
      <c r="E200" s="40"/>
      <c r="G200" s="3"/>
      <c r="H200" s="3"/>
      <c r="I200" s="3"/>
      <c r="M200"/>
      <c r="N200"/>
      <c r="O200"/>
      <c r="P200"/>
      <c r="Q200"/>
      <c r="R200"/>
      <c r="V200" s="3"/>
      <c r="W200" s="40"/>
      <c r="Y200" s="3"/>
      <c r="Z200" s="3"/>
      <c r="AA200" s="3"/>
      <c r="AE200" s="3"/>
      <c r="AF200" s="3"/>
      <c r="AH200" s="3"/>
      <c r="AI200" s="3"/>
      <c r="AJ200" s="3"/>
      <c r="AN200" s="3"/>
      <c r="AO200" s="3"/>
      <c r="AQ200" s="3"/>
      <c r="AR200" s="3"/>
      <c r="AW200" s="3"/>
      <c r="AX200" s="3"/>
      <c r="AZ200" s="3"/>
      <c r="BA200" s="3"/>
      <c r="BF200" s="3"/>
      <c r="BG200" s="3"/>
      <c r="BI200" s="3"/>
      <c r="BJ200" s="3"/>
      <c r="BO200" s="3"/>
      <c r="BP200" s="3"/>
      <c r="BR200" s="3"/>
      <c r="BS200" s="3"/>
      <c r="BX200" s="3"/>
      <c r="BY200" s="3"/>
      <c r="CA200" s="3"/>
      <c r="CB200" s="3"/>
      <c r="CC200" s="3"/>
      <c r="CG200" s="3"/>
      <c r="CH200" s="3"/>
      <c r="CJ200" s="3"/>
      <c r="CK200" s="3"/>
      <c r="CP200" s="3"/>
      <c r="CQ200" s="3"/>
      <c r="CS200" s="3"/>
      <c r="CT200" s="3"/>
      <c r="CY200" s="3"/>
      <c r="CZ200" s="3"/>
      <c r="DB200" s="3"/>
      <c r="DC200" s="3"/>
    </row>
    <row r="201" spans="4:107" ht="16.2" x14ac:dyDescent="0.3">
      <c r="D201" s="3"/>
      <c r="E201" s="40"/>
      <c r="G201" s="3"/>
      <c r="H201" s="3"/>
      <c r="I201" s="3"/>
      <c r="M201"/>
      <c r="N201"/>
      <c r="O201"/>
      <c r="P201"/>
      <c r="Q201"/>
      <c r="R201"/>
      <c r="V201" s="3"/>
      <c r="W201" s="40"/>
      <c r="Y201" s="3"/>
      <c r="Z201" s="3"/>
      <c r="AA201" s="3"/>
      <c r="AE201" s="3"/>
      <c r="AF201" s="3"/>
      <c r="AH201" s="3"/>
      <c r="AI201" s="3"/>
      <c r="AJ201" s="3"/>
      <c r="AN201" s="3"/>
      <c r="AO201" s="3"/>
      <c r="AQ201" s="3"/>
      <c r="AR201" s="3"/>
      <c r="AW201" s="3"/>
      <c r="AX201" s="3"/>
      <c r="AZ201" s="3"/>
      <c r="BA201" s="3"/>
      <c r="BF201" s="3"/>
      <c r="BG201" s="3"/>
      <c r="BI201" s="3"/>
      <c r="BJ201" s="3"/>
      <c r="BO201" s="3"/>
      <c r="BP201" s="3"/>
      <c r="BR201" s="3"/>
      <c r="BS201" s="3"/>
      <c r="BX201" s="3"/>
      <c r="BY201" s="3"/>
      <c r="CA201" s="3"/>
      <c r="CB201" s="3"/>
      <c r="CC201" s="3"/>
      <c r="CG201" s="3"/>
      <c r="CH201" s="3"/>
      <c r="CJ201" s="3"/>
      <c r="CK201" s="3"/>
      <c r="CP201" s="3"/>
      <c r="CQ201" s="3"/>
      <c r="CS201" s="3"/>
      <c r="CT201" s="3"/>
      <c r="CY201" s="3"/>
      <c r="CZ201" s="3"/>
      <c r="DB201" s="3"/>
      <c r="DC201" s="3"/>
    </row>
    <row r="202" spans="4:107" ht="16.2" x14ac:dyDescent="0.3">
      <c r="D202" s="3"/>
      <c r="E202" s="40"/>
      <c r="G202" s="3"/>
      <c r="H202" s="3"/>
      <c r="I202" s="3"/>
      <c r="M202"/>
      <c r="N202"/>
      <c r="O202"/>
      <c r="P202"/>
      <c r="Q202"/>
      <c r="R202"/>
      <c r="V202" s="3"/>
      <c r="W202" s="40"/>
      <c r="Y202" s="3"/>
      <c r="Z202" s="3"/>
      <c r="AA202" s="3"/>
      <c r="AE202" s="3"/>
      <c r="AF202" s="3"/>
      <c r="AH202" s="3"/>
      <c r="AI202" s="3"/>
      <c r="AJ202" s="3"/>
      <c r="AN202" s="3"/>
      <c r="AO202" s="3"/>
      <c r="AQ202" s="3"/>
      <c r="AR202" s="3"/>
      <c r="AW202" s="3"/>
      <c r="AX202" s="3"/>
      <c r="AZ202" s="3"/>
      <c r="BA202" s="3"/>
      <c r="BF202" s="3"/>
      <c r="BG202" s="3"/>
      <c r="BI202" s="3"/>
      <c r="BJ202" s="3"/>
      <c r="BO202" s="3"/>
      <c r="BP202" s="3"/>
      <c r="BR202" s="3"/>
      <c r="BS202" s="3"/>
      <c r="BX202" s="3"/>
      <c r="BY202" s="3"/>
      <c r="CA202" s="3"/>
      <c r="CB202" s="3"/>
      <c r="CC202" s="3"/>
      <c r="CG202" s="3"/>
      <c r="CH202" s="3"/>
      <c r="CJ202" s="3"/>
      <c r="CK202" s="3"/>
      <c r="CP202" s="3"/>
      <c r="CQ202" s="3"/>
      <c r="CS202" s="3"/>
      <c r="CT202" s="3"/>
      <c r="CY202" s="3"/>
      <c r="CZ202" s="3"/>
      <c r="DB202" s="3"/>
      <c r="DC202" s="3"/>
    </row>
    <row r="203" spans="4:107" ht="16.2" x14ac:dyDescent="0.3">
      <c r="D203" s="3"/>
      <c r="E203" s="40"/>
      <c r="G203" s="3"/>
      <c r="H203" s="3"/>
      <c r="I203" s="3"/>
      <c r="M203"/>
      <c r="N203"/>
      <c r="O203"/>
      <c r="P203"/>
      <c r="Q203"/>
      <c r="R203"/>
      <c r="V203" s="3"/>
      <c r="W203" s="40"/>
      <c r="Y203" s="3"/>
      <c r="Z203" s="3"/>
      <c r="AA203" s="3"/>
      <c r="AE203" s="3"/>
      <c r="AF203" s="3"/>
      <c r="AH203" s="3"/>
      <c r="AI203" s="3"/>
      <c r="AJ203" s="3"/>
      <c r="AN203" s="3"/>
      <c r="AO203" s="3"/>
      <c r="AQ203" s="3"/>
      <c r="AR203" s="3"/>
      <c r="AW203" s="3"/>
      <c r="AX203" s="3"/>
      <c r="AZ203" s="3"/>
      <c r="BA203" s="3"/>
      <c r="BF203" s="3"/>
      <c r="BG203" s="3"/>
      <c r="BI203" s="3"/>
      <c r="BJ203" s="3"/>
      <c r="BO203" s="3"/>
      <c r="BP203" s="3"/>
      <c r="BR203" s="3"/>
      <c r="BS203" s="3"/>
      <c r="BX203" s="3"/>
      <c r="BY203" s="3"/>
      <c r="CA203" s="3"/>
      <c r="CB203" s="3"/>
      <c r="CC203" s="3"/>
      <c r="CG203" s="3"/>
      <c r="CH203" s="3"/>
      <c r="CJ203" s="3"/>
      <c r="CK203" s="3"/>
      <c r="CP203" s="3"/>
      <c r="CQ203" s="3"/>
      <c r="CS203" s="3"/>
      <c r="CT203" s="3"/>
      <c r="CY203" s="3"/>
      <c r="CZ203" s="3"/>
      <c r="DB203" s="3"/>
      <c r="DC203" s="3"/>
    </row>
    <row r="204" spans="4:107" ht="16.2" x14ac:dyDescent="0.3">
      <c r="D204" s="3"/>
      <c r="E204" s="40"/>
      <c r="G204" s="3"/>
      <c r="H204" s="3"/>
      <c r="I204" s="3"/>
      <c r="M204"/>
      <c r="N204"/>
      <c r="O204"/>
      <c r="P204"/>
      <c r="Q204"/>
      <c r="R204"/>
      <c r="V204" s="3"/>
      <c r="W204" s="40"/>
      <c r="Y204" s="3"/>
      <c r="Z204" s="3"/>
      <c r="AA204" s="3"/>
      <c r="AE204" s="3"/>
      <c r="AF204" s="3"/>
      <c r="AH204" s="3"/>
      <c r="AI204" s="3"/>
      <c r="AJ204" s="3"/>
      <c r="AN204" s="3"/>
      <c r="AO204" s="3"/>
      <c r="AQ204" s="3"/>
      <c r="AR204" s="3"/>
      <c r="AW204" s="3"/>
      <c r="AX204" s="3"/>
      <c r="AZ204" s="3"/>
      <c r="BA204" s="3"/>
      <c r="BF204" s="3"/>
      <c r="BG204" s="3"/>
      <c r="BI204" s="3"/>
      <c r="BJ204" s="3"/>
      <c r="BO204" s="3"/>
      <c r="BP204" s="3"/>
      <c r="BR204" s="3"/>
      <c r="BS204" s="3"/>
      <c r="BX204" s="3"/>
      <c r="BY204" s="3"/>
      <c r="CA204" s="3"/>
      <c r="CB204" s="3"/>
      <c r="CC204" s="3"/>
      <c r="CG204" s="3"/>
      <c r="CH204" s="3"/>
      <c r="CJ204" s="3"/>
      <c r="CK204" s="3"/>
      <c r="CP204" s="3"/>
      <c r="CQ204" s="3"/>
      <c r="CS204" s="3"/>
      <c r="CT204" s="3"/>
      <c r="CY204" s="3"/>
      <c r="CZ204" s="3"/>
      <c r="DB204" s="3"/>
      <c r="DC204" s="3"/>
    </row>
    <row r="205" spans="4:107" ht="16.2" x14ac:dyDescent="0.3">
      <c r="D205" s="3"/>
      <c r="E205" s="40"/>
      <c r="G205" s="3"/>
      <c r="H205" s="3"/>
      <c r="I205" s="3"/>
      <c r="M205"/>
      <c r="N205"/>
      <c r="O205"/>
      <c r="P205"/>
      <c r="Q205"/>
      <c r="R205"/>
      <c r="V205" s="3"/>
      <c r="W205" s="40"/>
      <c r="Y205" s="3"/>
      <c r="Z205" s="3"/>
      <c r="AA205" s="3"/>
      <c r="AE205" s="3"/>
      <c r="AF205" s="3"/>
      <c r="AH205" s="3"/>
      <c r="AI205" s="3"/>
      <c r="AJ205" s="3"/>
      <c r="AN205" s="3"/>
      <c r="AO205" s="3"/>
      <c r="AQ205" s="3"/>
      <c r="AR205" s="3"/>
      <c r="AW205" s="3"/>
      <c r="AX205" s="3"/>
      <c r="AZ205" s="3"/>
      <c r="BA205" s="3"/>
      <c r="BF205" s="3"/>
      <c r="BG205" s="3"/>
      <c r="BI205" s="3"/>
      <c r="BJ205" s="3"/>
      <c r="BO205" s="3"/>
      <c r="BP205" s="3"/>
      <c r="BR205" s="3"/>
      <c r="BS205" s="3"/>
      <c r="BX205" s="3"/>
      <c r="BY205" s="3"/>
      <c r="CA205" s="3"/>
      <c r="CB205" s="3"/>
      <c r="CC205" s="3"/>
      <c r="CG205" s="3"/>
      <c r="CH205" s="3"/>
      <c r="CJ205" s="3"/>
      <c r="CK205" s="3"/>
      <c r="CP205" s="3"/>
      <c r="CQ205" s="3"/>
      <c r="CS205" s="3"/>
      <c r="CT205" s="3"/>
      <c r="CY205" s="3"/>
      <c r="CZ205" s="3"/>
      <c r="DB205" s="3"/>
      <c r="DC205" s="3"/>
    </row>
    <row r="206" spans="4:107" ht="16.2" x14ac:dyDescent="0.3">
      <c r="D206" s="3"/>
      <c r="E206" s="40"/>
      <c r="G206" s="3"/>
      <c r="H206" s="3"/>
      <c r="I206" s="3"/>
      <c r="M206"/>
      <c r="N206"/>
      <c r="O206"/>
      <c r="P206"/>
      <c r="Q206"/>
      <c r="R206"/>
      <c r="V206" s="3"/>
      <c r="W206" s="40"/>
      <c r="Y206" s="3"/>
      <c r="Z206" s="3"/>
      <c r="AA206" s="3"/>
      <c r="AE206" s="3"/>
      <c r="AF206" s="3"/>
      <c r="AH206" s="3"/>
      <c r="AI206" s="3"/>
      <c r="AJ206" s="3"/>
      <c r="AN206" s="3"/>
      <c r="AO206" s="3"/>
      <c r="AQ206" s="3"/>
      <c r="AR206" s="3"/>
      <c r="AW206" s="3"/>
      <c r="AX206" s="3"/>
      <c r="AZ206" s="3"/>
      <c r="BA206" s="3"/>
      <c r="BF206" s="3"/>
      <c r="BG206" s="3"/>
      <c r="BI206" s="3"/>
      <c r="BJ206" s="3"/>
      <c r="BO206" s="3"/>
      <c r="BP206" s="3"/>
      <c r="BR206" s="3"/>
      <c r="BS206" s="3"/>
      <c r="BX206" s="3"/>
      <c r="BY206" s="3"/>
      <c r="CA206" s="3"/>
      <c r="CB206" s="3"/>
      <c r="CC206" s="3"/>
      <c r="CG206" s="3"/>
      <c r="CH206" s="3"/>
      <c r="CJ206" s="3"/>
      <c r="CK206" s="3"/>
      <c r="CP206" s="3"/>
      <c r="CQ206" s="3"/>
      <c r="CS206" s="3"/>
      <c r="CT206" s="3"/>
      <c r="CY206" s="3"/>
      <c r="CZ206" s="3"/>
      <c r="DB206" s="3"/>
      <c r="DC206" s="3"/>
    </row>
    <row r="207" spans="4:107" ht="16.2" x14ac:dyDescent="0.3">
      <c r="D207" s="3"/>
      <c r="E207" s="40"/>
      <c r="G207" s="3"/>
      <c r="H207" s="3"/>
      <c r="I207" s="3"/>
      <c r="M207"/>
      <c r="N207"/>
      <c r="O207"/>
      <c r="P207"/>
      <c r="Q207"/>
      <c r="R207"/>
      <c r="V207" s="3"/>
      <c r="W207" s="40"/>
      <c r="Y207" s="3"/>
      <c r="Z207" s="3"/>
      <c r="AA207" s="3"/>
      <c r="AE207" s="3"/>
      <c r="AF207" s="3"/>
      <c r="AH207" s="3"/>
      <c r="AI207" s="3"/>
      <c r="AJ207" s="3"/>
      <c r="AN207" s="3"/>
      <c r="AO207" s="3"/>
      <c r="AQ207" s="3"/>
      <c r="AR207" s="3"/>
      <c r="AW207" s="3"/>
      <c r="AX207" s="3"/>
      <c r="AZ207" s="3"/>
      <c r="BA207" s="3"/>
      <c r="BF207" s="3"/>
      <c r="BG207" s="3"/>
      <c r="BI207" s="3"/>
      <c r="BJ207" s="3"/>
      <c r="BO207" s="3"/>
      <c r="BP207" s="3"/>
      <c r="BR207" s="3"/>
      <c r="BS207" s="3"/>
      <c r="BX207" s="3"/>
      <c r="BY207" s="3"/>
      <c r="CA207" s="3"/>
      <c r="CB207" s="3"/>
      <c r="CC207" s="3"/>
      <c r="CG207" s="3"/>
      <c r="CH207" s="3"/>
      <c r="CJ207" s="3"/>
      <c r="CK207" s="3"/>
      <c r="CP207" s="3"/>
      <c r="CQ207" s="3"/>
      <c r="CS207" s="3"/>
      <c r="CT207" s="3"/>
      <c r="CY207" s="3"/>
      <c r="CZ207" s="3"/>
      <c r="DB207" s="3"/>
      <c r="DC207" s="3"/>
    </row>
    <row r="208" spans="4:107" ht="16.2" x14ac:dyDescent="0.3">
      <c r="D208" s="3"/>
      <c r="E208" s="40"/>
      <c r="G208" s="3"/>
      <c r="H208" s="3"/>
      <c r="I208" s="3"/>
      <c r="M208"/>
      <c r="N208"/>
      <c r="O208"/>
      <c r="P208"/>
      <c r="Q208"/>
      <c r="R208"/>
      <c r="V208" s="3"/>
      <c r="W208" s="40"/>
      <c r="Y208" s="3"/>
      <c r="Z208" s="3"/>
      <c r="AA208" s="3"/>
      <c r="AE208" s="3"/>
      <c r="AF208" s="3"/>
      <c r="AH208" s="3"/>
      <c r="AI208" s="3"/>
      <c r="AJ208" s="3"/>
      <c r="AN208" s="3"/>
      <c r="AO208" s="3"/>
      <c r="AQ208" s="3"/>
      <c r="AR208" s="3"/>
      <c r="AW208" s="3"/>
      <c r="AX208" s="3"/>
      <c r="AZ208" s="3"/>
      <c r="BA208" s="3"/>
      <c r="BF208" s="3"/>
      <c r="BG208" s="3"/>
      <c r="BI208" s="3"/>
      <c r="BJ208" s="3"/>
      <c r="BO208" s="3"/>
      <c r="BP208" s="3"/>
      <c r="BR208" s="3"/>
      <c r="BS208" s="3"/>
      <c r="BX208" s="3"/>
      <c r="BY208" s="3"/>
      <c r="CA208" s="3"/>
      <c r="CB208" s="3"/>
      <c r="CC208" s="3"/>
      <c r="CG208" s="3"/>
      <c r="CH208" s="3"/>
      <c r="CJ208" s="3"/>
      <c r="CK208" s="3"/>
      <c r="CP208" s="3"/>
      <c r="CQ208" s="3"/>
      <c r="CS208" s="3"/>
      <c r="CT208" s="3"/>
      <c r="CY208" s="3"/>
      <c r="CZ208" s="3"/>
      <c r="DB208" s="3"/>
      <c r="DC208" s="3"/>
    </row>
    <row r="209" spans="4:107" ht="16.2" x14ac:dyDescent="0.3">
      <c r="D209" s="3"/>
      <c r="E209" s="40"/>
      <c r="G209" s="3"/>
      <c r="H209" s="3"/>
      <c r="I209" s="3"/>
      <c r="M209"/>
      <c r="N209"/>
      <c r="O209"/>
      <c r="P209"/>
      <c r="Q209"/>
      <c r="R209"/>
      <c r="V209" s="3"/>
      <c r="W209" s="40"/>
      <c r="Y209" s="3"/>
      <c r="Z209" s="3"/>
      <c r="AA209" s="3"/>
      <c r="AE209" s="3"/>
      <c r="AF209" s="3"/>
      <c r="AH209" s="3"/>
      <c r="AI209" s="3"/>
      <c r="AJ209" s="3"/>
      <c r="AN209" s="3"/>
      <c r="AO209" s="3"/>
      <c r="AQ209" s="3"/>
      <c r="AR209" s="3"/>
      <c r="AW209" s="3"/>
      <c r="AX209" s="3"/>
      <c r="AZ209" s="3"/>
      <c r="BA209" s="3"/>
      <c r="BF209" s="3"/>
      <c r="BG209" s="3"/>
      <c r="BI209" s="3"/>
      <c r="BJ209" s="3"/>
      <c r="BO209" s="3"/>
      <c r="BP209" s="3"/>
      <c r="BR209" s="3"/>
      <c r="BS209" s="3"/>
      <c r="BX209" s="3"/>
      <c r="BY209" s="3"/>
      <c r="CA209" s="3"/>
      <c r="CB209" s="3"/>
      <c r="CC209" s="3"/>
      <c r="CG209" s="3"/>
      <c r="CH209" s="3"/>
      <c r="CJ209" s="3"/>
      <c r="CK209" s="3"/>
      <c r="CP209" s="3"/>
      <c r="CQ209" s="3"/>
      <c r="CS209" s="3"/>
      <c r="CT209" s="3"/>
      <c r="CY209" s="3"/>
      <c r="CZ209" s="3"/>
      <c r="DB209" s="3"/>
      <c r="DC209" s="3"/>
    </row>
    <row r="210" spans="4:107" ht="16.2" x14ac:dyDescent="0.3">
      <c r="D210" s="3"/>
      <c r="E210" s="40"/>
      <c r="G210" s="3"/>
      <c r="H210" s="3"/>
      <c r="I210" s="3"/>
      <c r="M210"/>
      <c r="N210"/>
      <c r="O210"/>
      <c r="P210"/>
      <c r="Q210"/>
      <c r="R210"/>
      <c r="V210" s="3"/>
      <c r="W210" s="40"/>
      <c r="Y210" s="3"/>
      <c r="Z210" s="3"/>
      <c r="AA210" s="3"/>
      <c r="AE210" s="3"/>
      <c r="AF210" s="3"/>
      <c r="AH210" s="3"/>
      <c r="AI210" s="3"/>
      <c r="AJ210" s="3"/>
      <c r="AN210" s="3"/>
      <c r="AO210" s="3"/>
      <c r="AQ210" s="3"/>
      <c r="AR210" s="3"/>
      <c r="AW210" s="3"/>
      <c r="AX210" s="3"/>
      <c r="AZ210" s="3"/>
      <c r="BA210" s="3"/>
      <c r="BF210" s="3"/>
      <c r="BG210" s="3"/>
      <c r="BI210" s="3"/>
      <c r="BJ210" s="3"/>
      <c r="BO210" s="3"/>
      <c r="BP210" s="3"/>
      <c r="BR210" s="3"/>
      <c r="BS210" s="3"/>
      <c r="BX210" s="3"/>
      <c r="BY210" s="3"/>
      <c r="CA210" s="3"/>
      <c r="CB210" s="3"/>
      <c r="CC210" s="3"/>
      <c r="CG210" s="3"/>
      <c r="CH210" s="3"/>
      <c r="CJ210" s="3"/>
      <c r="CK210" s="3"/>
      <c r="CP210" s="3"/>
      <c r="CQ210" s="3"/>
      <c r="CS210" s="3"/>
      <c r="CT210" s="3"/>
      <c r="CY210" s="3"/>
      <c r="CZ210" s="3"/>
      <c r="DB210" s="3"/>
      <c r="DC210" s="3"/>
    </row>
    <row r="211" spans="4:107" ht="16.2" x14ac:dyDescent="0.3">
      <c r="D211" s="3"/>
      <c r="E211" s="40"/>
      <c r="G211" s="3"/>
      <c r="H211" s="3"/>
      <c r="I211" s="3"/>
      <c r="M211"/>
      <c r="N211"/>
      <c r="O211"/>
      <c r="P211"/>
      <c r="Q211"/>
      <c r="R211"/>
      <c r="V211" s="3"/>
      <c r="W211" s="40"/>
      <c r="Y211" s="3"/>
      <c r="Z211" s="3"/>
      <c r="AA211" s="3"/>
      <c r="AE211" s="3"/>
      <c r="AF211" s="3"/>
      <c r="AH211" s="3"/>
      <c r="AI211" s="3"/>
      <c r="AJ211" s="3"/>
      <c r="AN211" s="3"/>
      <c r="AO211" s="3"/>
      <c r="AQ211" s="3"/>
      <c r="AR211" s="3"/>
      <c r="AW211" s="3"/>
      <c r="AX211" s="3"/>
      <c r="AZ211" s="3"/>
      <c r="BA211" s="3"/>
      <c r="BF211" s="3"/>
      <c r="BG211" s="3"/>
      <c r="BI211" s="3"/>
      <c r="BJ211" s="3"/>
      <c r="BO211" s="3"/>
      <c r="BP211" s="3"/>
      <c r="BR211" s="3"/>
      <c r="BS211" s="3"/>
      <c r="BX211" s="3"/>
      <c r="BY211" s="3"/>
      <c r="CA211" s="3"/>
      <c r="CB211" s="3"/>
      <c r="CC211" s="3"/>
      <c r="CG211" s="3"/>
      <c r="CH211" s="3"/>
      <c r="CJ211" s="3"/>
      <c r="CK211" s="3"/>
      <c r="CP211" s="3"/>
      <c r="CQ211" s="3"/>
      <c r="CS211" s="3"/>
      <c r="CT211" s="3"/>
      <c r="CY211" s="3"/>
      <c r="CZ211" s="3"/>
      <c r="DB211" s="3"/>
      <c r="DC211" s="3"/>
    </row>
    <row r="212" spans="4:107" ht="16.2" x14ac:dyDescent="0.3">
      <c r="D212" s="3"/>
      <c r="E212" s="40"/>
      <c r="G212" s="3"/>
      <c r="H212" s="3"/>
      <c r="I212" s="3"/>
      <c r="M212"/>
      <c r="N212"/>
      <c r="O212"/>
      <c r="P212"/>
      <c r="Q212"/>
      <c r="R212"/>
      <c r="V212" s="3"/>
      <c r="W212" s="40"/>
      <c r="Y212" s="3"/>
      <c r="Z212" s="3"/>
      <c r="AA212" s="3"/>
      <c r="AE212" s="3"/>
      <c r="AF212" s="3"/>
      <c r="AH212" s="3"/>
      <c r="AI212" s="3"/>
      <c r="AJ212" s="3"/>
      <c r="AN212" s="3"/>
      <c r="AO212" s="3"/>
      <c r="AQ212" s="3"/>
      <c r="AR212" s="3"/>
      <c r="AW212" s="3"/>
      <c r="AX212" s="3"/>
      <c r="AZ212" s="3"/>
      <c r="BA212" s="3"/>
      <c r="BF212" s="3"/>
      <c r="BG212" s="3"/>
      <c r="BI212" s="3"/>
      <c r="BJ212" s="3"/>
      <c r="BO212" s="3"/>
      <c r="BP212" s="3"/>
      <c r="BR212" s="3"/>
      <c r="BS212" s="3"/>
      <c r="BX212" s="3"/>
      <c r="BY212" s="3"/>
      <c r="CA212" s="3"/>
      <c r="CB212" s="3"/>
      <c r="CC212" s="3"/>
      <c r="CG212" s="3"/>
      <c r="CH212" s="3"/>
      <c r="CJ212" s="3"/>
      <c r="CK212" s="3"/>
      <c r="CP212" s="3"/>
      <c r="CQ212" s="3"/>
      <c r="CS212" s="3"/>
      <c r="CT212" s="3"/>
      <c r="CY212" s="3"/>
      <c r="CZ212" s="3"/>
      <c r="DB212" s="3"/>
      <c r="DC212" s="3"/>
    </row>
    <row r="213" spans="4:107" ht="16.2" x14ac:dyDescent="0.3">
      <c r="D213" s="3"/>
      <c r="E213" s="40"/>
      <c r="G213" s="3"/>
      <c r="H213" s="3"/>
      <c r="I213" s="3"/>
      <c r="M213"/>
      <c r="N213"/>
      <c r="O213"/>
      <c r="P213"/>
      <c r="Q213"/>
      <c r="R213"/>
      <c r="V213" s="3"/>
      <c r="W213" s="40"/>
      <c r="Y213" s="3"/>
      <c r="Z213" s="3"/>
      <c r="AA213" s="3"/>
      <c r="AE213" s="3"/>
      <c r="AF213" s="3"/>
      <c r="AH213" s="3"/>
      <c r="AI213" s="3"/>
      <c r="AJ213" s="3"/>
      <c r="AN213" s="3"/>
      <c r="AO213" s="3"/>
      <c r="AQ213" s="3"/>
      <c r="AR213" s="3"/>
      <c r="AW213" s="3"/>
      <c r="AX213" s="3"/>
      <c r="AZ213" s="3"/>
      <c r="BA213" s="3"/>
      <c r="BF213" s="3"/>
      <c r="BG213" s="3"/>
      <c r="BI213" s="3"/>
      <c r="BJ213" s="3"/>
      <c r="BO213" s="3"/>
      <c r="BP213" s="3"/>
      <c r="BR213" s="3"/>
      <c r="BS213" s="3"/>
      <c r="BX213" s="3"/>
      <c r="BY213" s="3"/>
      <c r="CA213" s="3"/>
      <c r="CB213" s="3"/>
      <c r="CC213" s="3"/>
      <c r="CG213" s="3"/>
      <c r="CH213" s="3"/>
      <c r="CJ213" s="3"/>
      <c r="CK213" s="3"/>
      <c r="CP213" s="3"/>
      <c r="CQ213" s="3"/>
      <c r="CS213" s="3"/>
      <c r="CT213" s="3"/>
      <c r="CY213" s="3"/>
      <c r="CZ213" s="3"/>
      <c r="DB213" s="3"/>
      <c r="DC213" s="3"/>
    </row>
    <row r="214" spans="4:107" ht="16.2" x14ac:dyDescent="0.3">
      <c r="D214" s="3"/>
      <c r="E214" s="40"/>
      <c r="G214" s="3"/>
      <c r="H214" s="3"/>
      <c r="I214" s="3"/>
      <c r="M214"/>
      <c r="N214"/>
      <c r="O214"/>
      <c r="P214"/>
      <c r="Q214"/>
      <c r="R214"/>
      <c r="V214" s="3"/>
      <c r="W214" s="40"/>
      <c r="Y214" s="3"/>
      <c r="Z214" s="3"/>
      <c r="AA214" s="3"/>
      <c r="AE214" s="3"/>
      <c r="AF214" s="3"/>
      <c r="AH214" s="3"/>
      <c r="AI214" s="3"/>
      <c r="AJ214" s="3"/>
      <c r="AN214" s="3"/>
      <c r="AO214" s="3"/>
      <c r="AQ214" s="3"/>
      <c r="AR214" s="3"/>
      <c r="AW214" s="3"/>
      <c r="AX214" s="3"/>
      <c r="AZ214" s="3"/>
      <c r="BA214" s="3"/>
      <c r="BF214" s="3"/>
      <c r="BG214" s="3"/>
      <c r="BI214" s="3"/>
      <c r="BJ214" s="3"/>
      <c r="BO214" s="3"/>
      <c r="BP214" s="3"/>
      <c r="BR214" s="3"/>
      <c r="BS214" s="3"/>
      <c r="BX214" s="3"/>
      <c r="BY214" s="3"/>
      <c r="CA214" s="3"/>
      <c r="CB214" s="3"/>
      <c r="CC214" s="3"/>
      <c r="CG214" s="3"/>
      <c r="CH214" s="3"/>
      <c r="CJ214" s="3"/>
      <c r="CK214" s="3"/>
      <c r="CP214" s="3"/>
      <c r="CQ214" s="3"/>
      <c r="CS214" s="3"/>
      <c r="CT214" s="3"/>
      <c r="CY214" s="3"/>
      <c r="CZ214" s="3"/>
      <c r="DB214" s="3"/>
      <c r="DC214" s="3"/>
    </row>
    <row r="215" spans="4:107" ht="16.2" x14ac:dyDescent="0.3">
      <c r="D215" s="3"/>
      <c r="E215" s="40"/>
      <c r="G215" s="3"/>
      <c r="H215" s="3"/>
      <c r="I215" s="3"/>
      <c r="M215"/>
      <c r="N215"/>
      <c r="O215"/>
      <c r="P215"/>
      <c r="Q215"/>
      <c r="R215"/>
      <c r="V215" s="3"/>
      <c r="W215" s="40"/>
      <c r="Y215" s="3"/>
      <c r="Z215" s="3"/>
      <c r="AA215" s="3"/>
      <c r="AE215" s="3"/>
      <c r="AF215" s="3"/>
      <c r="AH215" s="3"/>
      <c r="AI215" s="3"/>
      <c r="AJ215" s="3"/>
      <c r="AN215" s="3"/>
      <c r="AO215" s="3"/>
      <c r="AQ215" s="3"/>
      <c r="AR215" s="3"/>
      <c r="AW215" s="3"/>
      <c r="AX215" s="3"/>
      <c r="AZ215" s="3"/>
      <c r="BA215" s="3"/>
      <c r="BF215" s="3"/>
      <c r="BG215" s="3"/>
      <c r="BI215" s="3"/>
      <c r="BJ215" s="3"/>
      <c r="BO215" s="3"/>
      <c r="BP215" s="3"/>
      <c r="BR215" s="3"/>
      <c r="BS215" s="3"/>
      <c r="BX215" s="3"/>
      <c r="BY215" s="3"/>
      <c r="CA215" s="3"/>
      <c r="CB215" s="3"/>
      <c r="CC215" s="3"/>
      <c r="CG215" s="3"/>
      <c r="CH215" s="3"/>
      <c r="CJ215" s="3"/>
      <c r="CK215" s="3"/>
      <c r="CP215" s="3"/>
      <c r="CQ215" s="3"/>
      <c r="CS215" s="3"/>
      <c r="CT215" s="3"/>
      <c r="CY215" s="3"/>
      <c r="CZ215" s="3"/>
      <c r="DB215" s="3"/>
      <c r="DC215" s="3"/>
    </row>
    <row r="216" spans="4:107" ht="16.2" x14ac:dyDescent="0.3">
      <c r="D216" s="3"/>
      <c r="E216" s="40"/>
      <c r="G216" s="3"/>
      <c r="H216" s="3"/>
      <c r="I216" s="3"/>
      <c r="M216"/>
      <c r="N216"/>
      <c r="O216"/>
      <c r="P216"/>
      <c r="Q216"/>
      <c r="R216"/>
      <c r="V216" s="3"/>
      <c r="W216" s="40"/>
      <c r="Y216" s="3"/>
      <c r="Z216" s="3"/>
      <c r="AA216" s="3"/>
      <c r="AE216" s="3"/>
      <c r="AF216" s="3"/>
      <c r="AH216" s="3"/>
      <c r="AI216" s="3"/>
      <c r="AJ216" s="3"/>
      <c r="AN216" s="3"/>
      <c r="AO216" s="3"/>
      <c r="AQ216" s="3"/>
      <c r="AR216" s="3"/>
      <c r="AW216" s="3"/>
      <c r="AX216" s="3"/>
      <c r="AZ216" s="3"/>
      <c r="BA216" s="3"/>
      <c r="BF216" s="3"/>
      <c r="BG216" s="3"/>
      <c r="BI216" s="3"/>
      <c r="BJ216" s="3"/>
      <c r="BO216" s="3"/>
      <c r="BP216" s="3"/>
      <c r="BR216" s="3"/>
      <c r="BS216" s="3"/>
      <c r="BX216" s="3"/>
      <c r="BY216" s="3"/>
      <c r="CA216" s="3"/>
      <c r="CB216" s="3"/>
      <c r="CC216" s="3"/>
      <c r="CG216" s="3"/>
      <c r="CH216" s="3"/>
      <c r="CJ216" s="3"/>
      <c r="CK216" s="3"/>
      <c r="CP216" s="3"/>
      <c r="CQ216" s="3"/>
      <c r="CS216" s="3"/>
      <c r="CT216" s="3"/>
      <c r="CY216" s="3"/>
      <c r="CZ216" s="3"/>
      <c r="DB216" s="3"/>
      <c r="DC216" s="3"/>
    </row>
    <row r="217" spans="4:107" x14ac:dyDescent="0.3">
      <c r="D217" s="3"/>
      <c r="E217" s="40"/>
      <c r="G217" s="3"/>
      <c r="H217" s="3"/>
      <c r="I217" s="3"/>
      <c r="N217" s="40"/>
      <c r="P217" s="3"/>
      <c r="Q217" s="3"/>
      <c r="R217" s="3"/>
      <c r="V217" s="3"/>
      <c r="W217" s="40"/>
      <c r="Y217" s="3"/>
      <c r="Z217" s="3"/>
      <c r="AA217" s="3"/>
      <c r="AE217" s="3"/>
      <c r="AF217" s="3"/>
      <c r="AH217" s="3"/>
      <c r="AI217" s="3"/>
      <c r="AJ217" s="3"/>
      <c r="AN217" s="3"/>
      <c r="AO217" s="3"/>
      <c r="AQ217" s="3"/>
      <c r="AR217" s="3"/>
      <c r="AW217" s="3"/>
      <c r="AX217" s="3"/>
      <c r="AZ217" s="3"/>
      <c r="BA217" s="3"/>
      <c r="BF217" s="3"/>
      <c r="BG217" s="3"/>
      <c r="BI217" s="3"/>
      <c r="BJ217" s="3"/>
      <c r="BO217" s="3"/>
      <c r="BP217" s="3"/>
      <c r="BR217" s="3"/>
      <c r="BS217" s="3"/>
      <c r="BX217" s="3"/>
      <c r="BY217" s="3"/>
      <c r="CA217" s="3"/>
      <c r="CB217" s="3"/>
      <c r="CC217" s="3"/>
      <c r="CG217" s="3"/>
      <c r="CH217" s="3"/>
      <c r="CJ217" s="3"/>
      <c r="CK217" s="3"/>
      <c r="CP217" s="3"/>
      <c r="CQ217" s="3"/>
      <c r="CS217" s="3"/>
      <c r="CT217" s="3"/>
      <c r="CY217" s="3"/>
      <c r="CZ217" s="3"/>
      <c r="DB217" s="3"/>
      <c r="DC217" s="3"/>
    </row>
    <row r="218" spans="4:107" x14ac:dyDescent="0.3">
      <c r="D218" s="3"/>
      <c r="E218" s="40"/>
      <c r="G218" s="3"/>
      <c r="H218" s="3"/>
      <c r="I218" s="3"/>
      <c r="M218" s="3"/>
      <c r="N218" s="40"/>
      <c r="P218" s="3"/>
      <c r="Q218" s="3"/>
      <c r="R218" s="3"/>
      <c r="V218" s="3"/>
      <c r="W218" s="40"/>
      <c r="Y218" s="3"/>
      <c r="Z218" s="3"/>
      <c r="AA218" s="3"/>
      <c r="AE218" s="3"/>
      <c r="AF218" s="3"/>
      <c r="AH218" s="3"/>
      <c r="AI218" s="3"/>
      <c r="AJ218" s="3"/>
      <c r="AN218" s="3"/>
      <c r="AO218" s="3"/>
      <c r="AQ218" s="3"/>
      <c r="AR218" s="3"/>
      <c r="AW218" s="3"/>
      <c r="AX218" s="3"/>
      <c r="AZ218" s="3"/>
      <c r="BA218" s="3"/>
      <c r="BF218" s="3"/>
      <c r="BG218" s="3"/>
      <c r="BI218" s="3"/>
      <c r="BJ218" s="3"/>
      <c r="BO218" s="3"/>
      <c r="BP218" s="3"/>
      <c r="BR218" s="3"/>
      <c r="BS218" s="3"/>
      <c r="BX218" s="3"/>
      <c r="BY218" s="3"/>
      <c r="CA218" s="3"/>
      <c r="CB218" s="3"/>
      <c r="CC218" s="3"/>
      <c r="CG218" s="3"/>
      <c r="CH218" s="3"/>
      <c r="CJ218" s="3"/>
      <c r="CK218" s="3"/>
      <c r="CP218" s="3"/>
      <c r="CQ218" s="3"/>
      <c r="CS218" s="3"/>
      <c r="CT218" s="3"/>
      <c r="CY218" s="3"/>
      <c r="CZ218" s="3"/>
      <c r="DB218" s="3"/>
      <c r="DC218" s="3"/>
    </row>
    <row r="219" spans="4:107" x14ac:dyDescent="0.3">
      <c r="D219" s="3"/>
      <c r="E219" s="40"/>
      <c r="G219" s="3"/>
      <c r="H219" s="3"/>
      <c r="I219" s="3"/>
      <c r="M219" s="3"/>
      <c r="N219" s="40"/>
      <c r="P219" s="3"/>
      <c r="Q219" s="3"/>
      <c r="R219" s="3"/>
      <c r="V219" s="3"/>
      <c r="W219" s="40"/>
      <c r="Y219" s="3"/>
      <c r="Z219" s="3"/>
      <c r="AA219" s="3"/>
      <c r="AE219" s="3"/>
      <c r="AF219" s="3"/>
      <c r="AH219" s="3"/>
      <c r="AI219" s="3"/>
      <c r="AJ219" s="3"/>
      <c r="AN219" s="3"/>
      <c r="AO219" s="3"/>
      <c r="AQ219" s="3"/>
      <c r="AR219" s="3"/>
      <c r="AW219" s="3"/>
      <c r="AX219" s="3"/>
      <c r="AZ219" s="3"/>
      <c r="BA219" s="3"/>
      <c r="BF219" s="3"/>
      <c r="BG219" s="3"/>
      <c r="BI219" s="3"/>
      <c r="BJ219" s="3"/>
      <c r="BO219" s="3"/>
      <c r="BP219" s="3"/>
      <c r="BR219" s="3"/>
      <c r="BS219" s="3"/>
      <c r="BX219" s="3"/>
      <c r="BY219" s="3"/>
      <c r="CA219" s="3"/>
      <c r="CB219" s="3"/>
      <c r="CC219" s="3"/>
      <c r="CG219" s="3"/>
      <c r="CH219" s="3"/>
      <c r="CJ219" s="3"/>
      <c r="CK219" s="3"/>
      <c r="CP219" s="3"/>
      <c r="CQ219" s="3"/>
      <c r="CS219" s="3"/>
      <c r="CT219" s="3"/>
      <c r="CY219" s="3"/>
      <c r="CZ219" s="3"/>
      <c r="DB219" s="3"/>
      <c r="DC219" s="3"/>
    </row>
    <row r="220" spans="4:107" x14ac:dyDescent="0.3">
      <c r="D220" s="3"/>
      <c r="E220" s="40"/>
      <c r="G220" s="3"/>
      <c r="H220" s="3"/>
      <c r="I220" s="3"/>
      <c r="M220" s="3"/>
      <c r="N220" s="40"/>
      <c r="P220" s="3"/>
      <c r="Q220" s="3"/>
      <c r="R220" s="3"/>
      <c r="V220" s="3"/>
      <c r="W220" s="40"/>
      <c r="Y220" s="3"/>
      <c r="Z220" s="3"/>
      <c r="AA220" s="3"/>
      <c r="AE220" s="3"/>
      <c r="AF220" s="3"/>
      <c r="AH220" s="3"/>
      <c r="AI220" s="3"/>
      <c r="AJ220" s="3"/>
      <c r="AN220" s="3"/>
      <c r="AO220" s="3"/>
      <c r="AQ220" s="3"/>
      <c r="AR220" s="3"/>
      <c r="AW220" s="3"/>
      <c r="AX220" s="3"/>
      <c r="AZ220" s="3"/>
      <c r="BA220" s="3"/>
      <c r="BF220" s="3"/>
      <c r="BG220" s="3"/>
      <c r="BI220" s="3"/>
      <c r="BJ220" s="3"/>
      <c r="BO220" s="3"/>
      <c r="BP220" s="3"/>
      <c r="BR220" s="3"/>
      <c r="BS220" s="3"/>
      <c r="BX220" s="3"/>
      <c r="BY220" s="3"/>
      <c r="CA220" s="3"/>
      <c r="CB220" s="3"/>
      <c r="CC220" s="3"/>
      <c r="CG220" s="3"/>
      <c r="CH220" s="3"/>
      <c r="CJ220" s="3"/>
      <c r="CK220" s="3"/>
      <c r="CP220" s="3"/>
      <c r="CQ220" s="3"/>
      <c r="CS220" s="3"/>
      <c r="CT220" s="3"/>
      <c r="CY220" s="3"/>
      <c r="CZ220" s="3"/>
      <c r="DB220" s="3"/>
      <c r="DC220" s="3"/>
    </row>
    <row r="221" spans="4:107" x14ac:dyDescent="0.3">
      <c r="D221" s="3"/>
      <c r="E221" s="40"/>
      <c r="G221" s="3"/>
      <c r="H221" s="3"/>
      <c r="I221" s="3"/>
      <c r="M221" s="3"/>
      <c r="N221" s="40"/>
      <c r="P221" s="3"/>
      <c r="Q221" s="3"/>
      <c r="R221" s="3"/>
      <c r="V221" s="3"/>
      <c r="W221" s="40"/>
      <c r="Y221" s="3"/>
      <c r="Z221" s="3"/>
      <c r="AA221" s="3"/>
      <c r="AE221" s="3"/>
      <c r="AF221" s="3"/>
      <c r="AH221" s="3"/>
      <c r="AI221" s="3"/>
      <c r="AJ221" s="3"/>
      <c r="AN221" s="3"/>
      <c r="AO221" s="3"/>
      <c r="AQ221" s="3"/>
      <c r="AR221" s="3"/>
      <c r="AW221" s="3"/>
      <c r="AX221" s="3"/>
      <c r="AZ221" s="3"/>
      <c r="BA221" s="3"/>
      <c r="BF221" s="3"/>
      <c r="BG221" s="3"/>
      <c r="BI221" s="3"/>
      <c r="BJ221" s="3"/>
      <c r="BO221" s="3"/>
      <c r="BP221" s="3"/>
      <c r="BR221" s="3"/>
      <c r="BS221" s="3"/>
      <c r="BX221" s="3"/>
      <c r="BY221" s="3"/>
      <c r="CA221" s="3"/>
      <c r="CB221" s="3"/>
      <c r="CC221" s="3"/>
      <c r="CG221" s="3"/>
      <c r="CH221" s="3"/>
      <c r="CJ221" s="3"/>
      <c r="CK221" s="3"/>
      <c r="CP221" s="3"/>
      <c r="CQ221" s="3"/>
      <c r="CS221" s="3"/>
      <c r="CT221" s="3"/>
      <c r="CY221" s="3"/>
      <c r="CZ221" s="3"/>
      <c r="DB221" s="3"/>
      <c r="DC221" s="3"/>
    </row>
    <row r="222" spans="4:107" x14ac:dyDescent="0.3">
      <c r="D222" s="3"/>
      <c r="E222" s="40"/>
      <c r="G222" s="3"/>
      <c r="H222" s="3"/>
      <c r="I222" s="3"/>
      <c r="M222" s="3"/>
      <c r="N222" s="40"/>
      <c r="P222" s="3"/>
      <c r="Q222" s="3"/>
      <c r="R222" s="3"/>
      <c r="V222" s="3"/>
      <c r="W222" s="40"/>
      <c r="Y222" s="3"/>
      <c r="Z222" s="3"/>
      <c r="AA222" s="3"/>
      <c r="AE222" s="3"/>
      <c r="AF222" s="3"/>
      <c r="AH222" s="3"/>
      <c r="AI222" s="3"/>
      <c r="AJ222" s="3"/>
      <c r="AN222" s="3"/>
      <c r="AO222" s="3"/>
      <c r="AQ222" s="3"/>
      <c r="AR222" s="3"/>
      <c r="AW222" s="3"/>
      <c r="AX222" s="3"/>
      <c r="AZ222" s="3"/>
      <c r="BA222" s="3"/>
      <c r="BF222" s="3"/>
      <c r="BG222" s="3"/>
      <c r="BI222" s="3"/>
      <c r="BJ222" s="3"/>
      <c r="BO222" s="3"/>
      <c r="BP222" s="3"/>
      <c r="BR222" s="3"/>
      <c r="BS222" s="3"/>
      <c r="BX222" s="3"/>
      <c r="BY222" s="3"/>
      <c r="CA222" s="3"/>
      <c r="CB222" s="3"/>
      <c r="CC222" s="3"/>
      <c r="CG222" s="3"/>
      <c r="CH222" s="3"/>
      <c r="CJ222" s="3"/>
      <c r="CK222" s="3"/>
      <c r="CP222" s="3"/>
      <c r="CQ222" s="3"/>
      <c r="CS222" s="3"/>
      <c r="CT222" s="3"/>
      <c r="CY222" s="3"/>
      <c r="CZ222" s="3"/>
      <c r="DB222" s="3"/>
      <c r="DC222" s="3"/>
    </row>
    <row r="223" spans="4:107" x14ac:dyDescent="0.3">
      <c r="D223" s="3"/>
      <c r="E223" s="40"/>
      <c r="G223" s="3"/>
      <c r="H223" s="3"/>
      <c r="I223" s="3"/>
      <c r="M223" s="3"/>
      <c r="N223" s="40"/>
      <c r="P223" s="3"/>
      <c r="Q223" s="3"/>
      <c r="R223" s="3"/>
      <c r="V223" s="3"/>
      <c r="W223" s="40"/>
      <c r="Y223" s="3"/>
      <c r="Z223" s="3"/>
      <c r="AA223" s="3"/>
      <c r="AE223" s="3"/>
      <c r="AF223" s="3"/>
      <c r="AH223" s="3"/>
      <c r="AI223" s="3"/>
      <c r="AJ223" s="3"/>
      <c r="AN223" s="3"/>
      <c r="AO223" s="3"/>
      <c r="AQ223" s="3"/>
      <c r="AR223" s="3"/>
      <c r="AW223" s="3"/>
      <c r="AX223" s="3"/>
      <c r="AZ223" s="3"/>
      <c r="BA223" s="3"/>
      <c r="BF223" s="3"/>
      <c r="BG223" s="3"/>
      <c r="BI223" s="3"/>
      <c r="BJ223" s="3"/>
      <c r="BO223" s="3"/>
      <c r="BP223" s="3"/>
      <c r="BR223" s="3"/>
      <c r="BS223" s="3"/>
      <c r="BX223" s="3"/>
      <c r="BY223" s="3"/>
      <c r="CA223" s="3"/>
      <c r="CB223" s="3"/>
      <c r="CC223" s="3"/>
      <c r="CG223" s="3"/>
      <c r="CH223" s="3"/>
      <c r="CJ223" s="3"/>
      <c r="CK223" s="3"/>
      <c r="CP223" s="3"/>
      <c r="CQ223" s="3"/>
      <c r="CS223" s="3"/>
      <c r="CT223" s="3"/>
      <c r="CY223" s="3"/>
      <c r="CZ223" s="3"/>
      <c r="DB223" s="3"/>
      <c r="DC223" s="3"/>
    </row>
    <row r="224" spans="4:107" x14ac:dyDescent="0.3">
      <c r="D224" s="3"/>
      <c r="E224" s="40"/>
      <c r="G224" s="3"/>
      <c r="H224" s="3"/>
      <c r="I224" s="3"/>
      <c r="M224" s="3"/>
      <c r="N224" s="40"/>
      <c r="P224" s="3"/>
      <c r="Q224" s="3"/>
      <c r="R224" s="3"/>
      <c r="V224" s="3"/>
      <c r="W224" s="40"/>
      <c r="Y224" s="3"/>
      <c r="Z224" s="3"/>
      <c r="AA224" s="3"/>
      <c r="AE224" s="3"/>
      <c r="AF224" s="3"/>
      <c r="AH224" s="3"/>
      <c r="AI224" s="3"/>
      <c r="AJ224" s="3"/>
      <c r="AN224" s="3"/>
      <c r="AO224" s="3"/>
      <c r="AQ224" s="3"/>
      <c r="AR224" s="3"/>
      <c r="AW224" s="3"/>
      <c r="AX224" s="3"/>
      <c r="AZ224" s="3"/>
      <c r="BA224" s="3"/>
      <c r="BF224" s="3"/>
      <c r="BG224" s="3"/>
      <c r="BI224" s="3"/>
      <c r="BJ224" s="3"/>
      <c r="BO224" s="3"/>
      <c r="BP224" s="3"/>
      <c r="BR224" s="3"/>
      <c r="BS224" s="3"/>
      <c r="BX224" s="3"/>
      <c r="BY224" s="3"/>
      <c r="CA224" s="3"/>
      <c r="CB224" s="3"/>
      <c r="CC224" s="3"/>
      <c r="CG224" s="3"/>
      <c r="CH224" s="3"/>
      <c r="CJ224" s="3"/>
      <c r="CK224" s="3"/>
      <c r="CP224" s="3"/>
      <c r="CQ224" s="3"/>
      <c r="CS224" s="3"/>
      <c r="CT224" s="3"/>
      <c r="CY224" s="3"/>
      <c r="CZ224" s="3"/>
      <c r="DB224" s="3"/>
      <c r="DC224" s="3"/>
    </row>
    <row r="225" spans="4:107" x14ac:dyDescent="0.3">
      <c r="D225" s="3"/>
      <c r="E225" s="40"/>
      <c r="G225" s="3"/>
      <c r="H225" s="3"/>
      <c r="I225" s="3"/>
      <c r="M225" s="3"/>
      <c r="N225" s="40"/>
      <c r="P225" s="3"/>
      <c r="Q225" s="3"/>
      <c r="R225" s="3"/>
      <c r="V225" s="3"/>
      <c r="W225" s="40"/>
      <c r="Y225" s="3"/>
      <c r="Z225" s="3"/>
      <c r="AA225" s="3"/>
      <c r="AE225" s="3"/>
      <c r="AF225" s="3"/>
      <c r="AH225" s="3"/>
      <c r="AI225" s="3"/>
      <c r="AJ225" s="3"/>
      <c r="AN225" s="3"/>
      <c r="AO225" s="3"/>
      <c r="AQ225" s="3"/>
      <c r="AR225" s="3"/>
      <c r="AW225" s="3"/>
      <c r="AX225" s="3"/>
      <c r="AZ225" s="3"/>
      <c r="BA225" s="3"/>
      <c r="BF225" s="3"/>
      <c r="BG225" s="3"/>
      <c r="BI225" s="3"/>
      <c r="BJ225" s="3"/>
      <c r="BO225" s="3"/>
      <c r="BP225" s="3"/>
      <c r="BR225" s="3"/>
      <c r="BS225" s="3"/>
      <c r="BX225" s="3"/>
      <c r="BY225" s="3"/>
      <c r="CA225" s="3"/>
      <c r="CB225" s="3"/>
      <c r="CC225" s="3"/>
      <c r="CG225" s="3"/>
      <c r="CH225" s="3"/>
      <c r="CJ225" s="3"/>
      <c r="CK225" s="3"/>
      <c r="CP225" s="3"/>
      <c r="CQ225" s="3"/>
      <c r="CS225" s="3"/>
      <c r="CT225" s="3"/>
      <c r="CY225" s="3"/>
      <c r="CZ225" s="3"/>
      <c r="DB225" s="3"/>
      <c r="DC225" s="3"/>
    </row>
    <row r="226" spans="4:107" x14ac:dyDescent="0.3">
      <c r="D226" s="3"/>
      <c r="E226" s="40"/>
      <c r="G226" s="3"/>
      <c r="H226" s="3"/>
      <c r="I226" s="3"/>
      <c r="M226" s="3"/>
      <c r="N226" s="40"/>
      <c r="P226" s="3"/>
      <c r="Q226" s="3"/>
      <c r="R226" s="3"/>
      <c r="V226" s="3"/>
      <c r="W226" s="40"/>
      <c r="Y226" s="3"/>
      <c r="Z226" s="3"/>
      <c r="AA226" s="3"/>
      <c r="AE226" s="3"/>
      <c r="AF226" s="3"/>
      <c r="AH226" s="3"/>
      <c r="AI226" s="3"/>
      <c r="AJ226" s="3"/>
      <c r="AN226" s="3"/>
      <c r="AO226" s="3"/>
      <c r="AQ226" s="3"/>
      <c r="AR226" s="3"/>
      <c r="AW226" s="3"/>
      <c r="AX226" s="3"/>
      <c r="AZ226" s="3"/>
      <c r="BA226" s="3"/>
      <c r="BF226" s="3"/>
      <c r="BG226" s="3"/>
      <c r="BI226" s="3"/>
      <c r="BJ226" s="3"/>
      <c r="BO226" s="3"/>
      <c r="BP226" s="3"/>
      <c r="BR226" s="3"/>
      <c r="BS226" s="3"/>
      <c r="BX226" s="3"/>
      <c r="BY226" s="3"/>
      <c r="CA226" s="3"/>
      <c r="CB226" s="3"/>
      <c r="CC226" s="3"/>
      <c r="CG226" s="3"/>
      <c r="CH226" s="3"/>
      <c r="CJ226" s="3"/>
      <c r="CK226" s="3"/>
      <c r="CP226" s="3"/>
      <c r="CQ226" s="3"/>
      <c r="CS226" s="3"/>
      <c r="CT226" s="3"/>
      <c r="CY226" s="3"/>
      <c r="CZ226" s="3"/>
      <c r="DB226" s="3"/>
      <c r="DC226" s="3"/>
    </row>
    <row r="227" spans="4:107" x14ac:dyDescent="0.3">
      <c r="D227" s="3"/>
      <c r="E227" s="40"/>
      <c r="G227" s="3"/>
      <c r="H227" s="3"/>
      <c r="I227" s="3"/>
      <c r="M227" s="3"/>
      <c r="N227" s="40"/>
      <c r="P227" s="3"/>
      <c r="Q227" s="3"/>
      <c r="R227" s="3"/>
      <c r="V227" s="3"/>
      <c r="W227" s="40"/>
      <c r="Y227" s="3"/>
      <c r="Z227" s="3"/>
      <c r="AA227" s="3"/>
      <c r="AE227" s="3"/>
      <c r="AF227" s="3"/>
      <c r="AH227" s="3"/>
      <c r="AI227" s="3"/>
      <c r="AJ227" s="3"/>
      <c r="AN227" s="3"/>
      <c r="AO227" s="3"/>
      <c r="AQ227" s="3"/>
      <c r="AR227" s="3"/>
      <c r="AW227" s="3"/>
      <c r="AX227" s="3"/>
      <c r="AZ227" s="3"/>
      <c r="BA227" s="3"/>
      <c r="BF227" s="3"/>
      <c r="BG227" s="3"/>
      <c r="BI227" s="3"/>
      <c r="BJ227" s="3"/>
      <c r="BO227" s="3"/>
      <c r="BP227" s="3"/>
      <c r="BR227" s="3"/>
      <c r="BS227" s="3"/>
      <c r="BX227" s="3"/>
      <c r="BY227" s="3"/>
      <c r="CA227" s="3"/>
      <c r="CB227" s="3"/>
      <c r="CC227" s="3"/>
      <c r="CG227" s="3"/>
      <c r="CH227" s="3"/>
      <c r="CJ227" s="3"/>
      <c r="CK227" s="3"/>
      <c r="CP227" s="3"/>
      <c r="CQ227" s="3"/>
      <c r="CS227" s="3"/>
      <c r="CT227" s="3"/>
      <c r="CY227" s="3"/>
      <c r="CZ227" s="3"/>
      <c r="DB227" s="3"/>
      <c r="DC227" s="3"/>
    </row>
    <row r="228" spans="4:107" x14ac:dyDescent="0.3">
      <c r="D228" s="3"/>
      <c r="E228" s="40"/>
      <c r="G228" s="3"/>
      <c r="H228" s="3"/>
      <c r="I228" s="3"/>
      <c r="M228" s="3"/>
      <c r="N228" s="40"/>
      <c r="P228" s="3"/>
      <c r="Q228" s="3"/>
      <c r="R228" s="3"/>
      <c r="V228" s="3"/>
      <c r="W228" s="40"/>
      <c r="Y228" s="3"/>
      <c r="Z228" s="3"/>
      <c r="AA228" s="3"/>
      <c r="AE228" s="3"/>
      <c r="AF228" s="3"/>
      <c r="AH228" s="3"/>
      <c r="AI228" s="3"/>
      <c r="AJ228" s="3"/>
      <c r="AN228" s="3"/>
      <c r="AO228" s="3"/>
      <c r="AQ228" s="3"/>
      <c r="AR228" s="3"/>
      <c r="AW228" s="3"/>
      <c r="AX228" s="3"/>
      <c r="AZ228" s="3"/>
      <c r="BA228" s="3"/>
      <c r="BF228" s="3"/>
      <c r="BG228" s="3"/>
      <c r="BI228" s="3"/>
      <c r="BJ228" s="3"/>
      <c r="BO228" s="3"/>
      <c r="BP228" s="3"/>
      <c r="BR228" s="3"/>
      <c r="BS228" s="3"/>
      <c r="BX228" s="3"/>
      <c r="BY228" s="3"/>
      <c r="CA228" s="3"/>
      <c r="CB228" s="3"/>
      <c r="CC228" s="3"/>
      <c r="CG228" s="3"/>
      <c r="CH228" s="3"/>
      <c r="CJ228" s="3"/>
      <c r="CK228" s="3"/>
      <c r="CP228" s="3"/>
      <c r="CQ228" s="3"/>
      <c r="CS228" s="3"/>
      <c r="CT228" s="3"/>
      <c r="CY228" s="3"/>
      <c r="CZ228" s="3"/>
      <c r="DB228" s="3"/>
      <c r="DC228" s="3"/>
    </row>
    <row r="229" spans="4:107" x14ac:dyDescent="0.3">
      <c r="D229" s="3"/>
      <c r="E229" s="40"/>
      <c r="G229" s="3"/>
      <c r="H229" s="3"/>
      <c r="I229" s="3"/>
      <c r="M229" s="3"/>
      <c r="N229" s="40"/>
      <c r="P229" s="3"/>
      <c r="Q229" s="3"/>
      <c r="R229" s="3"/>
      <c r="V229" s="3"/>
      <c r="W229" s="40"/>
      <c r="Y229" s="3"/>
      <c r="Z229" s="3"/>
      <c r="AA229" s="3"/>
      <c r="AE229" s="3"/>
      <c r="AF229" s="3"/>
      <c r="AH229" s="3"/>
      <c r="AI229" s="3"/>
      <c r="AJ229" s="3"/>
      <c r="AN229" s="3"/>
      <c r="AO229" s="3"/>
      <c r="AQ229" s="3"/>
      <c r="AR229" s="3"/>
      <c r="AW229" s="3"/>
      <c r="AX229" s="3"/>
      <c r="AZ229" s="3"/>
      <c r="BA229" s="3"/>
      <c r="BF229" s="3"/>
      <c r="BG229" s="3"/>
      <c r="BI229" s="3"/>
      <c r="BJ229" s="3"/>
      <c r="BO229" s="3"/>
      <c r="BP229" s="3"/>
      <c r="BR229" s="3"/>
      <c r="BS229" s="3"/>
      <c r="BX229" s="3"/>
      <c r="BY229" s="3"/>
      <c r="CA229" s="3"/>
      <c r="CB229" s="3"/>
      <c r="CC229" s="3"/>
      <c r="CG229" s="3"/>
      <c r="CH229" s="3"/>
      <c r="CJ229" s="3"/>
      <c r="CK229" s="3"/>
      <c r="CP229" s="3"/>
      <c r="CQ229" s="3"/>
      <c r="CS229" s="3"/>
      <c r="CT229" s="3"/>
      <c r="CY229" s="3"/>
      <c r="CZ229" s="3"/>
      <c r="DB229" s="3"/>
      <c r="DC229" s="3"/>
    </row>
    <row r="230" spans="4:107" x14ac:dyDescent="0.3">
      <c r="D230" s="3"/>
      <c r="E230" s="40"/>
      <c r="G230" s="3"/>
      <c r="H230" s="3"/>
      <c r="I230" s="3"/>
      <c r="M230" s="3"/>
      <c r="N230" s="40"/>
      <c r="P230" s="3"/>
      <c r="Q230" s="3"/>
      <c r="R230" s="3"/>
      <c r="V230" s="3"/>
      <c r="W230" s="40"/>
      <c r="Y230" s="3"/>
      <c r="Z230" s="3"/>
      <c r="AA230" s="3"/>
      <c r="AE230" s="3"/>
      <c r="AF230" s="3"/>
      <c r="AH230" s="3"/>
      <c r="AI230" s="3"/>
      <c r="AJ230" s="3"/>
      <c r="AN230" s="3"/>
      <c r="AO230" s="3"/>
      <c r="AQ230" s="3"/>
      <c r="AR230" s="3"/>
      <c r="AW230" s="3"/>
      <c r="AX230" s="3"/>
      <c r="AZ230" s="3"/>
      <c r="BA230" s="3"/>
      <c r="BF230" s="3"/>
      <c r="BG230" s="3"/>
      <c r="BI230" s="3"/>
      <c r="BJ230" s="3"/>
      <c r="BO230" s="3"/>
      <c r="BP230" s="3"/>
      <c r="BR230" s="3"/>
      <c r="BS230" s="3"/>
      <c r="BX230" s="3"/>
      <c r="BY230" s="3"/>
      <c r="CA230" s="3"/>
      <c r="CB230" s="3"/>
      <c r="CC230" s="3"/>
      <c r="CG230" s="3"/>
      <c r="CH230" s="3"/>
      <c r="CJ230" s="3"/>
      <c r="CK230" s="3"/>
      <c r="CP230" s="3"/>
      <c r="CQ230" s="3"/>
      <c r="CS230" s="3"/>
      <c r="CT230" s="3"/>
      <c r="CY230" s="3"/>
      <c r="CZ230" s="3"/>
      <c r="DB230" s="3"/>
      <c r="DC230" s="3"/>
    </row>
    <row r="231" spans="4:107" x14ac:dyDescent="0.3">
      <c r="D231" s="3"/>
      <c r="E231" s="40"/>
      <c r="G231" s="3"/>
      <c r="H231" s="3"/>
      <c r="I231" s="3"/>
      <c r="M231" s="3"/>
      <c r="N231" s="40"/>
      <c r="P231" s="3"/>
      <c r="Q231" s="3"/>
      <c r="R231" s="3"/>
      <c r="V231" s="3"/>
      <c r="W231" s="40"/>
      <c r="Y231" s="3"/>
      <c r="Z231" s="3"/>
      <c r="AA231" s="3"/>
      <c r="AE231" s="3"/>
      <c r="AF231" s="3"/>
      <c r="AH231" s="3"/>
      <c r="AI231" s="3"/>
      <c r="AJ231" s="3"/>
      <c r="AN231" s="3"/>
      <c r="AO231" s="3"/>
      <c r="AQ231" s="3"/>
      <c r="AR231" s="3"/>
      <c r="AW231" s="3"/>
      <c r="AX231" s="3"/>
      <c r="AZ231" s="3"/>
      <c r="BA231" s="3"/>
      <c r="BF231" s="3"/>
      <c r="BG231" s="3"/>
      <c r="BI231" s="3"/>
      <c r="BJ231" s="3"/>
      <c r="BO231" s="3"/>
      <c r="BP231" s="3"/>
      <c r="BR231" s="3"/>
      <c r="BS231" s="3"/>
      <c r="BX231" s="3"/>
      <c r="BY231" s="3"/>
      <c r="CA231" s="3"/>
      <c r="CB231" s="3"/>
      <c r="CC231" s="3"/>
      <c r="CG231" s="3"/>
      <c r="CH231" s="3"/>
      <c r="CJ231" s="3"/>
      <c r="CK231" s="3"/>
      <c r="CP231" s="3"/>
      <c r="CQ231" s="3"/>
      <c r="CS231" s="3"/>
      <c r="CT231" s="3"/>
      <c r="CY231" s="3"/>
      <c r="CZ231" s="3"/>
      <c r="DB231" s="3"/>
      <c r="DC231" s="3"/>
    </row>
    <row r="232" spans="4:107" x14ac:dyDescent="0.3">
      <c r="D232" s="3"/>
      <c r="E232" s="40"/>
      <c r="G232" s="3"/>
      <c r="H232" s="3"/>
      <c r="I232" s="3"/>
      <c r="M232" s="3"/>
      <c r="N232" s="40"/>
      <c r="P232" s="3"/>
      <c r="Q232" s="3"/>
      <c r="R232" s="3"/>
      <c r="V232" s="3"/>
      <c r="W232" s="40"/>
      <c r="Y232" s="3"/>
      <c r="Z232" s="3"/>
      <c r="AA232" s="3"/>
      <c r="AE232" s="3"/>
      <c r="AF232" s="3"/>
      <c r="AH232" s="3"/>
      <c r="AI232" s="3"/>
      <c r="AJ232" s="3"/>
      <c r="AN232" s="3"/>
      <c r="AO232" s="3"/>
      <c r="AQ232" s="3"/>
      <c r="AR232" s="3"/>
      <c r="AW232" s="3"/>
      <c r="AX232" s="3"/>
      <c r="AZ232" s="3"/>
      <c r="BA232" s="3"/>
      <c r="BF232" s="3"/>
      <c r="BG232" s="3"/>
      <c r="BI232" s="3"/>
      <c r="BJ232" s="3"/>
      <c r="BO232" s="3"/>
      <c r="BP232" s="3"/>
      <c r="BR232" s="3"/>
      <c r="BS232" s="3"/>
      <c r="BX232" s="3"/>
      <c r="BY232" s="3"/>
      <c r="CA232" s="3"/>
      <c r="CB232" s="3"/>
      <c r="CC232" s="3"/>
      <c r="CG232" s="3"/>
      <c r="CH232" s="3"/>
      <c r="CJ232" s="3"/>
      <c r="CK232" s="3"/>
      <c r="CP232" s="3"/>
      <c r="CQ232" s="3"/>
      <c r="CS232" s="3"/>
      <c r="CT232" s="3"/>
      <c r="CY232" s="3"/>
      <c r="CZ232" s="3"/>
      <c r="DB232" s="3"/>
      <c r="DC232" s="3"/>
    </row>
    <row r="233" spans="4:107" x14ac:dyDescent="0.3">
      <c r="D233" s="3"/>
      <c r="E233" s="40"/>
      <c r="G233" s="3"/>
      <c r="H233" s="3"/>
      <c r="I233" s="3"/>
      <c r="M233" s="3"/>
      <c r="N233" s="40"/>
      <c r="P233" s="3"/>
      <c r="Q233" s="3"/>
      <c r="R233" s="3"/>
      <c r="V233" s="3"/>
      <c r="W233" s="40"/>
      <c r="Y233" s="3"/>
      <c r="Z233" s="3"/>
      <c r="AA233" s="3"/>
      <c r="AE233" s="3"/>
      <c r="AF233" s="3"/>
      <c r="AH233" s="3"/>
      <c r="AI233" s="3"/>
      <c r="AJ233" s="3"/>
      <c r="AN233" s="3"/>
      <c r="AO233" s="3"/>
      <c r="AQ233" s="3"/>
      <c r="AR233" s="3"/>
      <c r="AW233" s="3"/>
      <c r="AX233" s="3"/>
      <c r="AZ233" s="3"/>
      <c r="BA233" s="3"/>
      <c r="BF233" s="3"/>
      <c r="BG233" s="3"/>
      <c r="BI233" s="3"/>
      <c r="BJ233" s="3"/>
      <c r="BO233" s="3"/>
      <c r="BP233" s="3"/>
      <c r="BR233" s="3"/>
      <c r="BS233" s="3"/>
      <c r="BX233" s="3"/>
      <c r="BY233" s="3"/>
      <c r="CA233" s="3"/>
      <c r="CB233" s="3"/>
      <c r="CC233" s="3"/>
      <c r="CG233" s="3"/>
      <c r="CH233" s="3"/>
      <c r="CJ233" s="3"/>
      <c r="CK233" s="3"/>
      <c r="CP233" s="3"/>
      <c r="CQ233" s="3"/>
      <c r="CS233" s="3"/>
      <c r="CT233" s="3"/>
      <c r="CY233" s="3"/>
      <c r="CZ233" s="3"/>
      <c r="DB233" s="3"/>
      <c r="DC233" s="3"/>
    </row>
    <row r="234" spans="4:107" x14ac:dyDescent="0.3">
      <c r="D234" s="3"/>
      <c r="E234" s="40"/>
      <c r="G234" s="3"/>
      <c r="H234" s="3"/>
      <c r="I234" s="3"/>
      <c r="M234" s="3"/>
      <c r="N234" s="40"/>
      <c r="P234" s="3"/>
      <c r="Q234" s="3"/>
      <c r="R234" s="3"/>
      <c r="V234" s="3"/>
      <c r="W234" s="40"/>
      <c r="Y234" s="3"/>
      <c r="Z234" s="3"/>
      <c r="AA234" s="3"/>
      <c r="AE234" s="3"/>
      <c r="AF234" s="3"/>
      <c r="AH234" s="3"/>
      <c r="AI234" s="3"/>
      <c r="AJ234" s="3"/>
      <c r="AN234" s="3"/>
      <c r="AO234" s="3"/>
      <c r="AQ234" s="3"/>
      <c r="AR234" s="3"/>
      <c r="AW234" s="3"/>
      <c r="AX234" s="3"/>
      <c r="AZ234" s="3"/>
      <c r="BA234" s="3"/>
      <c r="BF234" s="3"/>
      <c r="BG234" s="3"/>
      <c r="BI234" s="3"/>
      <c r="BJ234" s="3"/>
      <c r="BO234" s="3"/>
      <c r="BP234" s="3"/>
      <c r="BR234" s="3"/>
      <c r="BS234" s="3"/>
      <c r="BX234" s="3"/>
      <c r="BY234" s="3"/>
      <c r="CA234" s="3"/>
      <c r="CB234" s="3"/>
      <c r="CC234" s="3"/>
      <c r="CG234" s="3"/>
      <c r="CH234" s="3"/>
      <c r="CJ234" s="3"/>
      <c r="CK234" s="3"/>
      <c r="CP234" s="3"/>
      <c r="CQ234" s="3"/>
      <c r="CS234" s="3"/>
      <c r="CT234" s="3"/>
      <c r="CY234" s="3"/>
      <c r="CZ234" s="3"/>
      <c r="DB234" s="3"/>
      <c r="DC234" s="3"/>
    </row>
    <row r="235" spans="4:107" x14ac:dyDescent="0.3">
      <c r="D235" s="3"/>
      <c r="E235" s="40"/>
      <c r="G235" s="3"/>
      <c r="H235" s="3"/>
      <c r="I235" s="3"/>
      <c r="M235" s="3"/>
      <c r="N235" s="40"/>
      <c r="P235" s="3"/>
      <c r="Q235" s="3"/>
      <c r="R235" s="3"/>
      <c r="V235" s="3"/>
      <c r="W235" s="40"/>
      <c r="Y235" s="3"/>
      <c r="Z235" s="3"/>
      <c r="AA235" s="3"/>
      <c r="AE235" s="3"/>
      <c r="AF235" s="3"/>
      <c r="AH235" s="3"/>
      <c r="AI235" s="3"/>
      <c r="AJ235" s="3"/>
      <c r="AN235" s="3"/>
      <c r="AO235" s="3"/>
      <c r="AQ235" s="3"/>
      <c r="AR235" s="3"/>
      <c r="AW235" s="3"/>
      <c r="AX235" s="3"/>
      <c r="AZ235" s="3"/>
      <c r="BA235" s="3"/>
      <c r="BF235" s="3"/>
      <c r="BG235" s="3"/>
      <c r="BI235" s="3"/>
      <c r="BJ235" s="3"/>
      <c r="BO235" s="3"/>
      <c r="BP235" s="3"/>
      <c r="BR235" s="3"/>
      <c r="BS235" s="3"/>
      <c r="BX235" s="3"/>
      <c r="BY235" s="3"/>
      <c r="CA235" s="3"/>
      <c r="CB235" s="3"/>
      <c r="CC235" s="3"/>
      <c r="CG235" s="3"/>
      <c r="CH235" s="3"/>
      <c r="CJ235" s="3"/>
      <c r="CK235" s="3"/>
      <c r="CP235" s="3"/>
      <c r="CQ235" s="3"/>
      <c r="CS235" s="3"/>
      <c r="CT235" s="3"/>
      <c r="CY235" s="3"/>
      <c r="CZ235" s="3"/>
      <c r="DB235" s="3"/>
      <c r="DC235" s="3"/>
    </row>
    <row r="236" spans="4:107" x14ac:dyDescent="0.3">
      <c r="D236" s="3"/>
      <c r="E236" s="40"/>
      <c r="G236" s="3"/>
      <c r="H236" s="3"/>
      <c r="I236" s="3"/>
      <c r="M236" s="3"/>
      <c r="N236" s="40"/>
      <c r="P236" s="3"/>
      <c r="Q236" s="3"/>
      <c r="R236" s="3"/>
      <c r="V236" s="3"/>
      <c r="W236" s="40"/>
      <c r="Y236" s="3"/>
      <c r="Z236" s="3"/>
      <c r="AA236" s="3"/>
      <c r="AE236" s="3"/>
      <c r="AF236" s="3"/>
      <c r="AH236" s="3"/>
      <c r="AI236" s="3"/>
      <c r="AJ236" s="3"/>
      <c r="AN236" s="3"/>
      <c r="AO236" s="3"/>
      <c r="AQ236" s="3"/>
      <c r="AR236" s="3"/>
      <c r="AW236" s="3"/>
      <c r="AX236" s="3"/>
      <c r="AZ236" s="3"/>
      <c r="BA236" s="3"/>
      <c r="BF236" s="3"/>
      <c r="BG236" s="3"/>
      <c r="BI236" s="3"/>
      <c r="BJ236" s="3"/>
      <c r="BO236" s="3"/>
      <c r="BP236" s="3"/>
      <c r="BR236" s="3"/>
      <c r="BS236" s="3"/>
      <c r="BX236" s="3"/>
      <c r="BY236" s="3"/>
      <c r="CA236" s="3"/>
      <c r="CB236" s="3"/>
      <c r="CC236" s="3"/>
      <c r="CG236" s="3"/>
      <c r="CH236" s="3"/>
      <c r="CJ236" s="3"/>
      <c r="CK236" s="3"/>
      <c r="CP236" s="3"/>
      <c r="CQ236" s="3"/>
      <c r="CS236" s="3"/>
      <c r="CT236" s="3"/>
      <c r="CY236" s="3"/>
      <c r="CZ236" s="3"/>
      <c r="DB236" s="3"/>
      <c r="DC236" s="3"/>
    </row>
    <row r="237" spans="4:107" x14ac:dyDescent="0.3">
      <c r="D237" s="3"/>
      <c r="E237" s="40"/>
      <c r="G237" s="3"/>
      <c r="H237" s="3"/>
      <c r="I237" s="3"/>
      <c r="M237" s="3"/>
      <c r="N237" s="40"/>
      <c r="P237" s="3"/>
      <c r="Q237" s="3"/>
      <c r="R237" s="3"/>
      <c r="V237" s="3"/>
      <c r="W237" s="40"/>
      <c r="Y237" s="3"/>
      <c r="Z237" s="3"/>
      <c r="AA237" s="3"/>
      <c r="AE237" s="3"/>
      <c r="AF237" s="3"/>
      <c r="AH237" s="3"/>
      <c r="AI237" s="3"/>
      <c r="AJ237" s="3"/>
      <c r="AN237" s="3"/>
      <c r="AO237" s="3"/>
      <c r="AQ237" s="3"/>
      <c r="AR237" s="3"/>
      <c r="AW237" s="3"/>
      <c r="AX237" s="3"/>
      <c r="AZ237" s="3"/>
      <c r="BA237" s="3"/>
      <c r="BF237" s="3"/>
      <c r="BG237" s="3"/>
      <c r="BI237" s="3"/>
      <c r="BJ237" s="3"/>
      <c r="BO237" s="3"/>
      <c r="BP237" s="3"/>
      <c r="BR237" s="3"/>
      <c r="BS237" s="3"/>
      <c r="BX237" s="3"/>
      <c r="BY237" s="3"/>
      <c r="CA237" s="3"/>
      <c r="CB237" s="3"/>
      <c r="CC237" s="3"/>
      <c r="CG237" s="3"/>
      <c r="CH237" s="3"/>
      <c r="CJ237" s="3"/>
      <c r="CK237" s="3"/>
      <c r="CP237" s="3"/>
      <c r="CQ237" s="3"/>
      <c r="CS237" s="3"/>
      <c r="CT237" s="3"/>
      <c r="CY237" s="3"/>
      <c r="CZ237" s="3"/>
      <c r="DB237" s="3"/>
      <c r="DC237" s="3"/>
    </row>
    <row r="238" spans="4:107" x14ac:dyDescent="0.3">
      <c r="D238" s="3"/>
      <c r="E238" s="40"/>
      <c r="G238" s="3"/>
      <c r="H238" s="3"/>
      <c r="I238" s="3"/>
      <c r="M238" s="3"/>
      <c r="N238" s="40"/>
      <c r="P238" s="3"/>
      <c r="Q238" s="3"/>
      <c r="R238" s="3"/>
      <c r="V238" s="3"/>
      <c r="W238" s="40"/>
      <c r="Y238" s="3"/>
      <c r="Z238" s="3"/>
      <c r="AA238" s="3"/>
      <c r="AE238" s="3"/>
      <c r="AF238" s="3"/>
      <c r="AH238" s="3"/>
      <c r="AI238" s="3"/>
      <c r="AJ238" s="3"/>
      <c r="AN238" s="3"/>
      <c r="AO238" s="3"/>
      <c r="AQ238" s="3"/>
      <c r="AR238" s="3"/>
      <c r="AW238" s="3"/>
      <c r="AX238" s="3"/>
      <c r="AZ238" s="3"/>
      <c r="BA238" s="3"/>
      <c r="BF238" s="3"/>
      <c r="BG238" s="3"/>
      <c r="BI238" s="3"/>
      <c r="BJ238" s="3"/>
      <c r="BO238" s="3"/>
      <c r="BP238" s="3"/>
      <c r="BR238" s="3"/>
      <c r="BS238" s="3"/>
      <c r="BX238" s="3"/>
      <c r="BY238" s="3"/>
      <c r="CA238" s="3"/>
      <c r="CB238" s="3"/>
      <c r="CC238" s="3"/>
      <c r="CG238" s="3"/>
      <c r="CH238" s="3"/>
      <c r="CJ238" s="3"/>
      <c r="CK238" s="3"/>
      <c r="CP238" s="3"/>
      <c r="CQ238" s="3"/>
      <c r="CS238" s="3"/>
      <c r="CT238" s="3"/>
      <c r="CY238" s="3"/>
      <c r="CZ238" s="3"/>
      <c r="DB238" s="3"/>
      <c r="DC238" s="3"/>
    </row>
    <row r="239" spans="4:107" x14ac:dyDescent="0.3">
      <c r="D239" s="3"/>
      <c r="E239" s="40"/>
      <c r="G239" s="3"/>
      <c r="H239" s="3"/>
      <c r="I239" s="3"/>
      <c r="M239" s="3"/>
      <c r="N239" s="40"/>
      <c r="P239" s="3"/>
      <c r="Q239" s="3"/>
      <c r="R239" s="3"/>
      <c r="V239" s="3"/>
      <c r="W239" s="40"/>
      <c r="Y239" s="3"/>
      <c r="Z239" s="3"/>
      <c r="AA239" s="3"/>
      <c r="AE239" s="3"/>
      <c r="AF239" s="3"/>
      <c r="AH239" s="3"/>
      <c r="AI239" s="3"/>
      <c r="AJ239" s="3"/>
      <c r="AN239" s="3"/>
      <c r="AO239" s="3"/>
      <c r="AQ239" s="3"/>
      <c r="AR239" s="3"/>
      <c r="AW239" s="3"/>
      <c r="AX239" s="3"/>
      <c r="AZ239" s="3"/>
      <c r="BA239" s="3"/>
      <c r="BF239" s="3"/>
      <c r="BG239" s="3"/>
      <c r="BI239" s="3"/>
      <c r="BJ239" s="3"/>
      <c r="BO239" s="3"/>
      <c r="BP239" s="3"/>
      <c r="BR239" s="3"/>
      <c r="BS239" s="3"/>
      <c r="BX239" s="3"/>
      <c r="BY239" s="3"/>
      <c r="CA239" s="3"/>
      <c r="CB239" s="3"/>
      <c r="CC239" s="3"/>
      <c r="CG239" s="3"/>
      <c r="CH239" s="3"/>
      <c r="CJ239" s="3"/>
      <c r="CK239" s="3"/>
      <c r="CP239" s="3"/>
      <c r="CQ239" s="3"/>
      <c r="CS239" s="3"/>
      <c r="CT239" s="3"/>
      <c r="CY239" s="3"/>
      <c r="CZ239" s="3"/>
      <c r="DB239" s="3"/>
      <c r="DC239" s="3"/>
    </row>
    <row r="240" spans="4:107" x14ac:dyDescent="0.3">
      <c r="D240" s="3"/>
      <c r="E240" s="40"/>
      <c r="G240" s="3"/>
      <c r="H240" s="3"/>
      <c r="I240" s="3"/>
      <c r="M240" s="3"/>
      <c r="N240" s="40"/>
      <c r="P240" s="3"/>
      <c r="Q240" s="3"/>
      <c r="R240" s="3"/>
      <c r="V240" s="3"/>
      <c r="W240" s="40"/>
      <c r="Y240" s="3"/>
      <c r="Z240" s="3"/>
      <c r="AA240" s="3"/>
      <c r="AE240" s="3"/>
      <c r="AF240" s="3"/>
      <c r="AH240" s="3"/>
      <c r="AI240" s="3"/>
      <c r="AJ240" s="3"/>
      <c r="AN240" s="3"/>
      <c r="AO240" s="3"/>
      <c r="AQ240" s="3"/>
      <c r="AR240" s="3"/>
      <c r="AW240" s="3"/>
      <c r="AX240" s="3"/>
      <c r="AZ240" s="3"/>
      <c r="BA240" s="3"/>
      <c r="BF240" s="3"/>
      <c r="BG240" s="3"/>
      <c r="BI240" s="3"/>
      <c r="BJ240" s="3"/>
      <c r="BO240" s="3"/>
      <c r="BP240" s="3"/>
      <c r="BR240" s="3"/>
      <c r="BS240" s="3"/>
      <c r="BX240" s="3"/>
      <c r="BY240" s="3"/>
      <c r="CA240" s="3"/>
      <c r="CB240" s="3"/>
      <c r="CC240" s="3"/>
      <c r="CG240" s="3"/>
      <c r="CH240" s="3"/>
      <c r="CJ240" s="3"/>
      <c r="CK240" s="3"/>
      <c r="CP240" s="3"/>
      <c r="CQ240" s="3"/>
      <c r="CS240" s="3"/>
      <c r="CT240" s="3"/>
      <c r="CY240" s="3"/>
      <c r="CZ240" s="3"/>
      <c r="DB240" s="3"/>
      <c r="DC240" s="3"/>
    </row>
    <row r="241" spans="4:107" x14ac:dyDescent="0.3">
      <c r="D241" s="3"/>
      <c r="E241" s="40"/>
      <c r="G241" s="3"/>
      <c r="H241" s="3"/>
      <c r="I241" s="3"/>
      <c r="M241" s="3"/>
      <c r="N241" s="40"/>
      <c r="P241" s="3"/>
      <c r="Q241" s="3"/>
      <c r="R241" s="3"/>
      <c r="V241" s="3"/>
      <c r="W241" s="40"/>
      <c r="Y241" s="3"/>
      <c r="Z241" s="3"/>
      <c r="AA241" s="3"/>
      <c r="AE241" s="3"/>
      <c r="AF241" s="3"/>
      <c r="AH241" s="3"/>
      <c r="AI241" s="3"/>
      <c r="AJ241" s="3"/>
      <c r="AN241" s="3"/>
      <c r="AO241" s="3"/>
      <c r="AQ241" s="3"/>
      <c r="AR241" s="3"/>
      <c r="AW241" s="3"/>
      <c r="AX241" s="3"/>
      <c r="AZ241" s="3"/>
      <c r="BA241" s="3"/>
      <c r="BF241" s="3"/>
      <c r="BG241" s="3"/>
      <c r="BI241" s="3"/>
      <c r="BJ241" s="3"/>
      <c r="BO241" s="3"/>
      <c r="BP241" s="3"/>
      <c r="BR241" s="3"/>
      <c r="BS241" s="3"/>
      <c r="BX241" s="3"/>
      <c r="BY241" s="3"/>
      <c r="CA241" s="3"/>
      <c r="CB241" s="3"/>
      <c r="CC241" s="3"/>
      <c r="CG241" s="3"/>
      <c r="CH241" s="3"/>
      <c r="CJ241" s="3"/>
      <c r="CK241" s="3"/>
      <c r="CP241" s="3"/>
      <c r="CQ241" s="3"/>
      <c r="CS241" s="3"/>
      <c r="CT241" s="3"/>
      <c r="CY241" s="3"/>
      <c r="CZ241" s="3"/>
      <c r="DB241" s="3"/>
      <c r="DC241" s="3"/>
    </row>
    <row r="242" spans="4:107" x14ac:dyDescent="0.3">
      <c r="D242" s="3"/>
      <c r="E242" s="40"/>
      <c r="G242" s="3"/>
      <c r="H242" s="3"/>
      <c r="I242" s="3"/>
      <c r="M242" s="3"/>
      <c r="N242" s="40"/>
      <c r="P242" s="3"/>
      <c r="Q242" s="3"/>
      <c r="R242" s="3"/>
      <c r="V242" s="3"/>
      <c r="W242" s="40"/>
      <c r="Y242" s="3"/>
      <c r="Z242" s="3"/>
      <c r="AA242" s="3"/>
      <c r="AE242" s="3"/>
      <c r="AF242" s="3"/>
      <c r="AH242" s="3"/>
      <c r="AI242" s="3"/>
      <c r="AJ242" s="3"/>
      <c r="AN242" s="3"/>
      <c r="AO242" s="3"/>
      <c r="AQ242" s="3"/>
      <c r="AR242" s="3"/>
      <c r="AW242" s="3"/>
      <c r="AX242" s="3"/>
      <c r="AZ242" s="3"/>
      <c r="BA242" s="3"/>
      <c r="BF242" s="3"/>
      <c r="BG242" s="3"/>
      <c r="BI242" s="3"/>
      <c r="BJ242" s="3"/>
      <c r="BO242" s="3"/>
      <c r="BP242" s="3"/>
      <c r="BR242" s="3"/>
      <c r="BS242" s="3"/>
      <c r="BX242" s="3"/>
      <c r="BY242" s="3"/>
      <c r="CA242" s="3"/>
      <c r="CB242" s="3"/>
      <c r="CC242" s="3"/>
      <c r="CG242" s="3"/>
      <c r="CH242" s="3"/>
      <c r="CJ242" s="3"/>
      <c r="CK242" s="3"/>
      <c r="CP242" s="3"/>
      <c r="CQ242" s="3"/>
      <c r="CS242" s="3"/>
      <c r="CT242" s="3"/>
      <c r="CY242" s="3"/>
      <c r="CZ242" s="3"/>
      <c r="DB242" s="3"/>
      <c r="DC242" s="3"/>
    </row>
    <row r="243" spans="4:107" x14ac:dyDescent="0.3">
      <c r="D243" s="3"/>
      <c r="E243" s="40"/>
      <c r="G243" s="3"/>
      <c r="H243" s="3"/>
      <c r="I243" s="3"/>
      <c r="M243" s="3"/>
      <c r="N243" s="40"/>
      <c r="P243" s="3"/>
      <c r="Q243" s="3"/>
      <c r="R243" s="3"/>
      <c r="V243" s="3"/>
      <c r="W243" s="40"/>
      <c r="Y243" s="3"/>
      <c r="Z243" s="3"/>
      <c r="AA243" s="3"/>
      <c r="AE243" s="3"/>
      <c r="AF243" s="3"/>
      <c r="AH243" s="3"/>
      <c r="AI243" s="3"/>
      <c r="AJ243" s="3"/>
      <c r="AN243" s="3"/>
      <c r="AO243" s="3"/>
      <c r="AQ243" s="3"/>
      <c r="AR243" s="3"/>
      <c r="AW243" s="3"/>
      <c r="AX243" s="3"/>
      <c r="AZ243" s="3"/>
      <c r="BA243" s="3"/>
      <c r="BF243" s="3"/>
      <c r="BG243" s="3"/>
      <c r="BI243" s="3"/>
      <c r="BJ243" s="3"/>
      <c r="BO243" s="3"/>
      <c r="BP243" s="3"/>
      <c r="BR243" s="3"/>
      <c r="BS243" s="3"/>
      <c r="BX243" s="3"/>
      <c r="BY243" s="3"/>
      <c r="CA243" s="3"/>
      <c r="CB243" s="3"/>
      <c r="CC243" s="3"/>
      <c r="CG243" s="3"/>
      <c r="CH243" s="3"/>
      <c r="CJ243" s="3"/>
      <c r="CK243" s="3"/>
      <c r="CP243" s="3"/>
      <c r="CQ243" s="3"/>
      <c r="CS243" s="3"/>
      <c r="CT243" s="3"/>
      <c r="CY243" s="3"/>
      <c r="CZ243" s="3"/>
      <c r="DB243" s="3"/>
      <c r="DC243" s="3"/>
    </row>
    <row r="244" spans="4:107" x14ac:dyDescent="0.3">
      <c r="D244" s="3"/>
      <c r="E244" s="40"/>
      <c r="G244" s="3"/>
      <c r="H244" s="3"/>
      <c r="I244" s="3"/>
      <c r="M244" s="3"/>
      <c r="N244" s="40"/>
      <c r="P244" s="3"/>
      <c r="Q244" s="3"/>
      <c r="R244" s="3"/>
      <c r="V244" s="3"/>
      <c r="W244" s="40"/>
      <c r="Y244" s="3"/>
      <c r="Z244" s="3"/>
      <c r="AA244" s="3"/>
      <c r="AE244" s="3"/>
      <c r="AF244" s="3"/>
      <c r="AH244" s="3"/>
      <c r="AI244" s="3"/>
      <c r="AJ244" s="3"/>
      <c r="AN244" s="3"/>
      <c r="AO244" s="3"/>
      <c r="AQ244" s="3"/>
      <c r="AR244" s="3"/>
      <c r="AW244" s="3"/>
      <c r="AX244" s="3"/>
      <c r="AZ244" s="3"/>
      <c r="BA244" s="3"/>
      <c r="BF244" s="3"/>
      <c r="BG244" s="3"/>
      <c r="BI244" s="3"/>
      <c r="BJ244" s="3"/>
      <c r="BO244" s="3"/>
      <c r="BP244" s="3"/>
      <c r="BR244" s="3"/>
      <c r="BS244" s="3"/>
      <c r="BX244" s="3"/>
      <c r="BY244" s="3"/>
      <c r="CA244" s="3"/>
      <c r="CB244" s="3"/>
      <c r="CC244" s="3"/>
      <c r="CG244" s="3"/>
      <c r="CH244" s="3"/>
      <c r="CJ244" s="3"/>
      <c r="CK244" s="3"/>
      <c r="CP244" s="3"/>
      <c r="CQ244" s="3"/>
      <c r="CS244" s="3"/>
      <c r="CT244" s="3"/>
      <c r="CY244" s="3"/>
      <c r="CZ244" s="3"/>
      <c r="DB244" s="3"/>
      <c r="DC244" s="3"/>
    </row>
    <row r="245" spans="4:107" x14ac:dyDescent="0.3">
      <c r="D245" s="3"/>
      <c r="E245" s="40"/>
      <c r="G245" s="3"/>
      <c r="H245" s="3"/>
      <c r="I245" s="3"/>
      <c r="M245" s="3"/>
      <c r="N245" s="40"/>
      <c r="P245" s="3"/>
      <c r="Q245" s="3"/>
      <c r="R245" s="3"/>
      <c r="V245" s="3"/>
      <c r="W245" s="40"/>
      <c r="Y245" s="3"/>
      <c r="Z245" s="3"/>
      <c r="AA245" s="3"/>
      <c r="AE245" s="3"/>
      <c r="AF245" s="3"/>
      <c r="AH245" s="3"/>
      <c r="AI245" s="3"/>
      <c r="AJ245" s="3"/>
      <c r="AN245" s="3"/>
      <c r="AO245" s="3"/>
      <c r="AQ245" s="3"/>
      <c r="AR245" s="3"/>
      <c r="AW245" s="3"/>
      <c r="AX245" s="3"/>
      <c r="AZ245" s="3"/>
      <c r="BA245" s="3"/>
      <c r="BF245" s="3"/>
      <c r="BG245" s="3"/>
      <c r="BI245" s="3"/>
      <c r="BJ245" s="3"/>
      <c r="BO245" s="3"/>
      <c r="BP245" s="3"/>
      <c r="BR245" s="3"/>
      <c r="BS245" s="3"/>
      <c r="BX245" s="3"/>
      <c r="BY245" s="3"/>
      <c r="CA245" s="3"/>
      <c r="CB245" s="3"/>
      <c r="CC245" s="3"/>
      <c r="CG245" s="3"/>
      <c r="CH245" s="3"/>
      <c r="CJ245" s="3"/>
      <c r="CK245" s="3"/>
      <c r="CP245" s="3"/>
      <c r="CQ245" s="3"/>
      <c r="CS245" s="3"/>
      <c r="CT245" s="3"/>
      <c r="CY245" s="3"/>
      <c r="CZ245" s="3"/>
      <c r="DB245" s="3"/>
      <c r="DC245" s="3"/>
    </row>
    <row r="246" spans="4:107" x14ac:dyDescent="0.3">
      <c r="D246" s="3"/>
      <c r="E246" s="40"/>
      <c r="G246" s="3"/>
      <c r="H246" s="3"/>
      <c r="I246" s="3"/>
      <c r="M246" s="3"/>
      <c r="N246" s="40"/>
      <c r="P246" s="3"/>
      <c r="Q246" s="3"/>
      <c r="R246" s="3"/>
      <c r="V246" s="3"/>
      <c r="W246" s="40"/>
      <c r="Y246" s="3"/>
      <c r="Z246" s="3"/>
      <c r="AA246" s="3"/>
      <c r="AE246" s="3"/>
      <c r="AF246" s="3"/>
      <c r="AH246" s="3"/>
      <c r="AI246" s="3"/>
      <c r="AJ246" s="3"/>
      <c r="AN246" s="3"/>
      <c r="AO246" s="3"/>
      <c r="AQ246" s="3"/>
      <c r="AR246" s="3"/>
      <c r="AW246" s="3"/>
      <c r="AX246" s="3"/>
      <c r="AZ246" s="3"/>
      <c r="BA246" s="3"/>
      <c r="BF246" s="3"/>
      <c r="BG246" s="3"/>
      <c r="BI246" s="3"/>
      <c r="BJ246" s="3"/>
      <c r="BO246" s="3"/>
      <c r="BP246" s="3"/>
      <c r="BR246" s="3"/>
      <c r="BS246" s="3"/>
      <c r="BX246" s="3"/>
      <c r="BY246" s="3"/>
      <c r="CA246" s="3"/>
      <c r="CB246" s="3"/>
      <c r="CC246" s="3"/>
      <c r="CG246" s="3"/>
      <c r="CH246" s="3"/>
      <c r="CJ246" s="3"/>
      <c r="CK246" s="3"/>
      <c r="CP246" s="3"/>
      <c r="CQ246" s="3"/>
      <c r="CS246" s="3"/>
      <c r="CT246" s="3"/>
      <c r="CY246" s="3"/>
      <c r="CZ246" s="3"/>
      <c r="DB246" s="3"/>
      <c r="DC246" s="3"/>
    </row>
    <row r="247" spans="4:107" x14ac:dyDescent="0.3">
      <c r="D247" s="3"/>
      <c r="E247" s="40"/>
      <c r="G247" s="3"/>
      <c r="H247" s="3"/>
      <c r="I247" s="3"/>
      <c r="M247" s="3"/>
      <c r="N247" s="40"/>
      <c r="P247" s="3"/>
      <c r="Q247" s="3"/>
      <c r="R247" s="3"/>
      <c r="V247" s="3"/>
      <c r="W247" s="40"/>
      <c r="Y247" s="3"/>
      <c r="Z247" s="3"/>
      <c r="AA247" s="3"/>
      <c r="AE247" s="3"/>
      <c r="AF247" s="3"/>
      <c r="AH247" s="3"/>
      <c r="AI247" s="3"/>
      <c r="AJ247" s="3"/>
      <c r="AN247" s="3"/>
      <c r="AO247" s="3"/>
      <c r="AQ247" s="3"/>
      <c r="AR247" s="3"/>
      <c r="AW247" s="3"/>
      <c r="AX247" s="3"/>
      <c r="AZ247" s="3"/>
      <c r="BA247" s="3"/>
      <c r="BF247" s="3"/>
      <c r="BG247" s="3"/>
      <c r="BI247" s="3"/>
      <c r="BJ247" s="3"/>
      <c r="BO247" s="3"/>
      <c r="BP247" s="3"/>
      <c r="BR247" s="3"/>
      <c r="BS247" s="3"/>
      <c r="BX247" s="3"/>
      <c r="BY247" s="3"/>
      <c r="CA247" s="3"/>
      <c r="CB247" s="3"/>
      <c r="CC247" s="3"/>
      <c r="CG247" s="3"/>
      <c r="CH247" s="3"/>
      <c r="CJ247" s="3"/>
      <c r="CK247" s="3"/>
      <c r="CP247" s="3"/>
      <c r="CQ247" s="3"/>
      <c r="CS247" s="3"/>
      <c r="CT247" s="3"/>
      <c r="CY247" s="3"/>
      <c r="CZ247" s="3"/>
      <c r="DB247" s="3"/>
      <c r="DC247" s="3"/>
    </row>
    <row r="248" spans="4:107" x14ac:dyDescent="0.3">
      <c r="D248" s="3"/>
      <c r="E248" s="40"/>
      <c r="G248" s="3"/>
      <c r="H248" s="3"/>
      <c r="I248" s="3"/>
      <c r="M248" s="3"/>
      <c r="N248" s="40"/>
      <c r="P248" s="3"/>
      <c r="Q248" s="3"/>
      <c r="R248" s="3"/>
      <c r="V248" s="3"/>
      <c r="W248" s="40"/>
      <c r="Y248" s="3"/>
      <c r="Z248" s="3"/>
      <c r="AA248" s="3"/>
      <c r="AE248" s="3"/>
      <c r="AF248" s="3"/>
      <c r="AH248" s="3"/>
      <c r="AI248" s="3"/>
      <c r="AJ248" s="3"/>
      <c r="AN248" s="3"/>
      <c r="AO248" s="3"/>
      <c r="AQ248" s="3"/>
      <c r="AR248" s="3"/>
      <c r="AW248" s="3"/>
      <c r="AX248" s="3"/>
      <c r="AZ248" s="3"/>
      <c r="BA248" s="3"/>
      <c r="BF248" s="3"/>
      <c r="BG248" s="3"/>
      <c r="BI248" s="3"/>
      <c r="BJ248" s="3"/>
      <c r="BO248" s="3"/>
      <c r="BP248" s="3"/>
      <c r="BR248" s="3"/>
      <c r="BS248" s="3"/>
      <c r="BX248" s="3"/>
      <c r="BY248" s="3"/>
      <c r="CA248" s="3"/>
      <c r="CB248" s="3"/>
      <c r="CC248" s="3"/>
      <c r="CG248" s="3"/>
      <c r="CH248" s="3"/>
      <c r="CJ248" s="3"/>
      <c r="CK248" s="3"/>
      <c r="CP248" s="3"/>
      <c r="CQ248" s="3"/>
      <c r="CS248" s="3"/>
      <c r="CT248" s="3"/>
      <c r="CY248" s="3"/>
      <c r="CZ248" s="3"/>
      <c r="DB248" s="3"/>
      <c r="DC248" s="3"/>
    </row>
    <row r="249" spans="4:107" x14ac:dyDescent="0.3">
      <c r="D249" s="3"/>
      <c r="E249" s="40"/>
      <c r="G249" s="3"/>
      <c r="H249" s="3"/>
      <c r="I249" s="3"/>
      <c r="M249" s="3"/>
      <c r="N249" s="40"/>
      <c r="P249" s="3"/>
      <c r="Q249" s="3"/>
      <c r="R249" s="3"/>
      <c r="V249" s="3"/>
      <c r="W249" s="40"/>
      <c r="Y249" s="3"/>
      <c r="Z249" s="3"/>
      <c r="AA249" s="3"/>
      <c r="AE249" s="3"/>
      <c r="AF249" s="3"/>
      <c r="AH249" s="3"/>
      <c r="AI249" s="3"/>
      <c r="AJ249" s="3"/>
      <c r="AN249" s="3"/>
      <c r="AO249" s="3"/>
      <c r="AQ249" s="3"/>
      <c r="AR249" s="3"/>
      <c r="AW249" s="3"/>
      <c r="AX249" s="3"/>
      <c r="AZ249" s="3"/>
      <c r="BA249" s="3"/>
      <c r="BF249" s="3"/>
      <c r="BG249" s="3"/>
      <c r="BI249" s="3"/>
      <c r="BJ249" s="3"/>
      <c r="BO249" s="3"/>
      <c r="BP249" s="3"/>
      <c r="BR249" s="3"/>
      <c r="BS249" s="3"/>
      <c r="BX249" s="3"/>
      <c r="BY249" s="3"/>
      <c r="CA249" s="3"/>
      <c r="CB249" s="3"/>
      <c r="CC249" s="3"/>
      <c r="CG249" s="3"/>
      <c r="CH249" s="3"/>
      <c r="CJ249" s="3"/>
      <c r="CK249" s="3"/>
      <c r="CP249" s="3"/>
      <c r="CQ249" s="3"/>
      <c r="CS249" s="3"/>
      <c r="CT249" s="3"/>
      <c r="CY249" s="3"/>
      <c r="CZ249" s="3"/>
      <c r="DB249" s="3"/>
      <c r="DC249" s="3"/>
    </row>
    <row r="250" spans="4:107" x14ac:dyDescent="0.3">
      <c r="D250" s="3"/>
      <c r="E250" s="40"/>
      <c r="G250" s="3"/>
      <c r="H250" s="3"/>
      <c r="I250" s="3"/>
      <c r="M250" s="3"/>
      <c r="N250" s="40"/>
      <c r="P250" s="3"/>
      <c r="Q250" s="3"/>
      <c r="R250" s="3"/>
      <c r="V250" s="3"/>
      <c r="W250" s="40"/>
      <c r="Y250" s="3"/>
      <c r="Z250" s="3"/>
      <c r="AA250" s="3"/>
      <c r="AE250" s="3"/>
      <c r="AF250" s="3"/>
      <c r="AH250" s="3"/>
      <c r="AI250" s="3"/>
      <c r="AJ250" s="3"/>
      <c r="AN250" s="3"/>
      <c r="AO250" s="3"/>
      <c r="AQ250" s="3"/>
      <c r="AR250" s="3"/>
      <c r="AW250" s="3"/>
      <c r="AX250" s="3"/>
      <c r="AZ250" s="3"/>
      <c r="BA250" s="3"/>
      <c r="BF250" s="3"/>
      <c r="BG250" s="3"/>
      <c r="BI250" s="3"/>
      <c r="BJ250" s="3"/>
      <c r="BO250" s="3"/>
      <c r="BP250" s="3"/>
      <c r="BR250" s="3"/>
      <c r="BS250" s="3"/>
      <c r="BX250" s="3"/>
      <c r="BY250" s="3"/>
      <c r="CA250" s="3"/>
      <c r="CB250" s="3"/>
      <c r="CC250" s="3"/>
      <c r="CG250" s="3"/>
      <c r="CH250" s="3"/>
      <c r="CJ250" s="3"/>
      <c r="CK250" s="3"/>
      <c r="CP250" s="3"/>
      <c r="CQ250" s="3"/>
      <c r="CS250" s="3"/>
      <c r="CT250" s="3"/>
      <c r="CY250" s="3"/>
      <c r="CZ250" s="3"/>
      <c r="DB250" s="3"/>
      <c r="DC250" s="3"/>
    </row>
    <row r="251" spans="4:107" x14ac:dyDescent="0.3">
      <c r="D251" s="3"/>
      <c r="E251" s="40"/>
      <c r="G251" s="3"/>
      <c r="H251" s="3"/>
      <c r="I251" s="3"/>
      <c r="M251" s="3"/>
      <c r="N251" s="40"/>
      <c r="P251" s="3"/>
      <c r="Q251" s="3"/>
      <c r="R251" s="3"/>
      <c r="V251" s="3"/>
      <c r="W251" s="40"/>
      <c r="Y251" s="3"/>
      <c r="Z251" s="3"/>
      <c r="AA251" s="3"/>
      <c r="AE251" s="3"/>
      <c r="AF251" s="3"/>
      <c r="AH251" s="3"/>
      <c r="AI251" s="3"/>
      <c r="AJ251" s="3"/>
      <c r="AN251" s="3"/>
      <c r="AO251" s="3"/>
      <c r="AQ251" s="3"/>
      <c r="AR251" s="3"/>
      <c r="AW251" s="3"/>
      <c r="AX251" s="3"/>
      <c r="AZ251" s="3"/>
      <c r="BA251" s="3"/>
      <c r="BF251" s="3"/>
      <c r="BG251" s="3"/>
      <c r="BI251" s="3"/>
      <c r="BJ251" s="3"/>
      <c r="BO251" s="3"/>
      <c r="BP251" s="3"/>
      <c r="BR251" s="3"/>
      <c r="BS251" s="3"/>
      <c r="BX251" s="3"/>
      <c r="BY251" s="3"/>
      <c r="CA251" s="3"/>
      <c r="CB251" s="3"/>
      <c r="CC251" s="3"/>
      <c r="CG251" s="3"/>
      <c r="CH251" s="3"/>
      <c r="CJ251" s="3"/>
      <c r="CK251" s="3"/>
      <c r="CP251" s="3"/>
      <c r="CQ251" s="3"/>
      <c r="CS251" s="3"/>
      <c r="CT251" s="3"/>
      <c r="CY251" s="3"/>
      <c r="CZ251" s="3"/>
      <c r="DB251" s="3"/>
      <c r="DC251" s="3"/>
    </row>
    <row r="252" spans="4:107" x14ac:dyDescent="0.3">
      <c r="D252" s="3"/>
      <c r="E252" s="40"/>
      <c r="G252" s="3"/>
      <c r="H252" s="3"/>
      <c r="I252" s="3"/>
      <c r="M252" s="3"/>
      <c r="N252" s="40"/>
      <c r="P252" s="3"/>
      <c r="Q252" s="3"/>
      <c r="R252" s="3"/>
      <c r="V252" s="3"/>
      <c r="W252" s="40"/>
      <c r="Y252" s="3"/>
      <c r="Z252" s="3"/>
      <c r="AA252" s="3"/>
      <c r="AE252" s="3"/>
      <c r="AF252" s="3"/>
      <c r="AH252" s="3"/>
      <c r="AI252" s="3"/>
      <c r="AJ252" s="3"/>
      <c r="AN252" s="3"/>
      <c r="AO252" s="3"/>
      <c r="AQ252" s="3"/>
      <c r="AR252" s="3"/>
      <c r="AW252" s="3"/>
      <c r="AX252" s="3"/>
      <c r="AZ252" s="3"/>
      <c r="BA252" s="3"/>
      <c r="BF252" s="3"/>
      <c r="BG252" s="3"/>
      <c r="BI252" s="3"/>
      <c r="BJ252" s="3"/>
      <c r="BO252" s="3"/>
      <c r="BP252" s="3"/>
      <c r="BR252" s="3"/>
      <c r="BS252" s="3"/>
      <c r="BX252" s="3"/>
      <c r="BY252" s="3"/>
      <c r="CA252" s="3"/>
      <c r="CB252" s="3"/>
      <c r="CC252" s="3"/>
      <c r="CG252" s="3"/>
      <c r="CH252" s="3"/>
      <c r="CJ252" s="3"/>
      <c r="CK252" s="3"/>
      <c r="CP252" s="3"/>
      <c r="CQ252" s="3"/>
      <c r="CS252" s="3"/>
      <c r="CT252" s="3"/>
      <c r="CY252" s="3"/>
      <c r="CZ252" s="3"/>
      <c r="DB252" s="3"/>
      <c r="DC252" s="3"/>
    </row>
    <row r="253" spans="4:107" x14ac:dyDescent="0.3">
      <c r="D253" s="3"/>
      <c r="E253" s="40"/>
      <c r="G253" s="3"/>
      <c r="H253" s="3"/>
      <c r="I253" s="3"/>
      <c r="M253" s="3"/>
      <c r="N253" s="40"/>
      <c r="P253" s="3"/>
      <c r="Q253" s="3"/>
      <c r="R253" s="3"/>
      <c r="V253" s="3"/>
      <c r="W253" s="40"/>
      <c r="Y253" s="3"/>
      <c r="Z253" s="3"/>
      <c r="AA253" s="3"/>
      <c r="AE253" s="3"/>
      <c r="AF253" s="3"/>
      <c r="AH253" s="3"/>
      <c r="AI253" s="3"/>
      <c r="AJ253" s="3"/>
      <c r="AN253" s="3"/>
      <c r="AO253" s="3"/>
      <c r="AQ253" s="3"/>
      <c r="AR253" s="3"/>
      <c r="AW253" s="3"/>
      <c r="AX253" s="3"/>
      <c r="AZ253" s="3"/>
      <c r="BA253" s="3"/>
      <c r="BF253" s="3"/>
      <c r="BG253" s="3"/>
      <c r="BI253" s="3"/>
      <c r="BJ253" s="3"/>
      <c r="BO253" s="3"/>
      <c r="BP253" s="3"/>
      <c r="BR253" s="3"/>
      <c r="BS253" s="3"/>
      <c r="BX253" s="3"/>
      <c r="BY253" s="3"/>
      <c r="CA253" s="3"/>
      <c r="CB253" s="3"/>
      <c r="CC253" s="3"/>
      <c r="CG253" s="3"/>
      <c r="CH253" s="3"/>
      <c r="CJ253" s="3"/>
      <c r="CK253" s="3"/>
      <c r="CP253" s="3"/>
      <c r="CQ253" s="3"/>
      <c r="CS253" s="3"/>
      <c r="CT253" s="3"/>
      <c r="CY253" s="3"/>
      <c r="CZ253" s="3"/>
      <c r="DB253" s="3"/>
      <c r="DC253" s="3"/>
    </row>
    <row r="254" spans="4:107" x14ac:dyDescent="0.3">
      <c r="D254" s="3"/>
      <c r="E254" s="40"/>
      <c r="G254" s="3"/>
      <c r="H254" s="3"/>
      <c r="I254" s="3"/>
      <c r="M254" s="3"/>
      <c r="N254" s="40"/>
      <c r="P254" s="3"/>
      <c r="Q254" s="3"/>
      <c r="R254" s="3"/>
      <c r="V254" s="3"/>
      <c r="W254" s="40"/>
      <c r="Y254" s="3"/>
      <c r="Z254" s="3"/>
      <c r="AA254" s="3"/>
      <c r="AE254" s="3"/>
      <c r="AF254" s="3"/>
      <c r="AH254" s="3"/>
      <c r="AI254" s="3"/>
      <c r="AJ254" s="3"/>
      <c r="AN254" s="3"/>
      <c r="AO254" s="3"/>
      <c r="AQ254" s="3"/>
      <c r="AR254" s="3"/>
      <c r="AW254" s="3"/>
      <c r="AX254" s="3"/>
      <c r="AZ254" s="3"/>
      <c r="BA254" s="3"/>
      <c r="BF254" s="3"/>
      <c r="BG254" s="3"/>
      <c r="BI254" s="3"/>
      <c r="BJ254" s="3"/>
      <c r="BO254" s="3"/>
      <c r="BP254" s="3"/>
      <c r="BR254" s="3"/>
      <c r="BS254" s="3"/>
      <c r="BX254" s="3"/>
      <c r="BY254" s="3"/>
      <c r="CA254" s="3"/>
      <c r="CB254" s="3"/>
      <c r="CC254" s="3"/>
      <c r="CG254" s="3"/>
      <c r="CH254" s="3"/>
      <c r="CJ254" s="3"/>
      <c r="CK254" s="3"/>
      <c r="CP254" s="3"/>
      <c r="CQ254" s="3"/>
      <c r="CS254" s="3"/>
      <c r="CT254" s="3"/>
      <c r="CY254" s="3"/>
      <c r="CZ254" s="3"/>
      <c r="DB254" s="3"/>
      <c r="DC254" s="3"/>
    </row>
    <row r="255" spans="4:107" x14ac:dyDescent="0.3">
      <c r="D255" s="3"/>
      <c r="E255" s="40"/>
      <c r="G255" s="3"/>
      <c r="H255" s="3"/>
      <c r="I255" s="3"/>
      <c r="M255" s="3"/>
      <c r="N255" s="40"/>
      <c r="P255" s="3"/>
      <c r="Q255" s="3"/>
      <c r="R255" s="3"/>
      <c r="V255" s="3"/>
      <c r="W255" s="40"/>
      <c r="Y255" s="3"/>
      <c r="Z255" s="3"/>
      <c r="AA255" s="3"/>
      <c r="AE255" s="3"/>
      <c r="AF255" s="3"/>
      <c r="AH255" s="3"/>
      <c r="AI255" s="3"/>
      <c r="AJ255" s="3"/>
      <c r="AN255" s="3"/>
      <c r="AO255" s="3"/>
      <c r="AQ255" s="3"/>
      <c r="AR255" s="3"/>
      <c r="AW255" s="3"/>
      <c r="AX255" s="3"/>
      <c r="AZ255" s="3"/>
      <c r="BA255" s="3"/>
      <c r="BF255" s="3"/>
      <c r="BG255" s="3"/>
      <c r="BI255" s="3"/>
      <c r="BJ255" s="3"/>
      <c r="BO255" s="3"/>
      <c r="BP255" s="3"/>
      <c r="BR255" s="3"/>
      <c r="BS255" s="3"/>
      <c r="BX255" s="3"/>
      <c r="BY255" s="3"/>
      <c r="CA255" s="3"/>
      <c r="CB255" s="3"/>
      <c r="CC255" s="3"/>
      <c r="CG255" s="3"/>
      <c r="CH255" s="3"/>
      <c r="CJ255" s="3"/>
      <c r="CK255" s="3"/>
      <c r="CP255" s="3"/>
      <c r="CQ255" s="3"/>
      <c r="CS255" s="3"/>
      <c r="CT255" s="3"/>
      <c r="CY255" s="3"/>
      <c r="CZ255" s="3"/>
      <c r="DB255" s="3"/>
      <c r="DC255" s="3"/>
    </row>
    <row r="256" spans="4:107" x14ac:dyDescent="0.3">
      <c r="D256" s="3"/>
      <c r="E256" s="40"/>
      <c r="G256" s="3"/>
      <c r="H256" s="3"/>
      <c r="I256" s="3"/>
      <c r="M256" s="3"/>
      <c r="N256" s="40"/>
      <c r="P256" s="3"/>
      <c r="Q256" s="3"/>
      <c r="R256" s="3"/>
      <c r="V256" s="3"/>
      <c r="W256" s="40"/>
      <c r="Y256" s="3"/>
      <c r="Z256" s="3"/>
      <c r="AA256" s="3"/>
      <c r="AE256" s="3"/>
      <c r="AF256" s="3"/>
      <c r="AH256" s="3"/>
      <c r="AI256" s="3"/>
      <c r="AJ256" s="3"/>
      <c r="AN256" s="3"/>
      <c r="AO256" s="3"/>
      <c r="AQ256" s="3"/>
      <c r="AR256" s="3"/>
      <c r="AW256" s="3"/>
      <c r="AX256" s="3"/>
      <c r="AZ256" s="3"/>
      <c r="BA256" s="3"/>
      <c r="BF256" s="3"/>
      <c r="BG256" s="3"/>
      <c r="BI256" s="3"/>
      <c r="BJ256" s="3"/>
      <c r="BO256" s="3"/>
      <c r="BP256" s="3"/>
      <c r="BR256" s="3"/>
      <c r="BS256" s="3"/>
      <c r="BX256" s="3"/>
      <c r="BY256" s="3"/>
      <c r="CA256" s="3"/>
      <c r="CB256" s="3"/>
      <c r="CC256" s="3"/>
      <c r="CG256" s="3"/>
      <c r="CH256" s="3"/>
      <c r="CJ256" s="3"/>
      <c r="CK256" s="3"/>
      <c r="CP256" s="3"/>
      <c r="CQ256" s="3"/>
      <c r="CS256" s="3"/>
      <c r="CT256" s="3"/>
      <c r="CY256" s="3"/>
      <c r="CZ256" s="3"/>
      <c r="DB256" s="3"/>
      <c r="DC256" s="3"/>
    </row>
    <row r="257" spans="4:107" x14ac:dyDescent="0.3">
      <c r="D257" s="3"/>
      <c r="E257" s="40"/>
      <c r="G257" s="3"/>
      <c r="H257" s="3"/>
      <c r="I257" s="3"/>
      <c r="M257" s="3"/>
      <c r="N257" s="40"/>
      <c r="P257" s="3"/>
      <c r="Q257" s="3"/>
      <c r="R257" s="3"/>
      <c r="V257" s="3"/>
      <c r="W257" s="40"/>
      <c r="Y257" s="3"/>
      <c r="Z257" s="3"/>
      <c r="AA257" s="3"/>
      <c r="AE257" s="3"/>
      <c r="AF257" s="3"/>
      <c r="AH257" s="3"/>
      <c r="AI257" s="3"/>
      <c r="AJ257" s="3"/>
      <c r="AN257" s="3"/>
      <c r="AO257" s="3"/>
      <c r="AQ257" s="3"/>
      <c r="AR257" s="3"/>
      <c r="AW257" s="3"/>
      <c r="AX257" s="3"/>
      <c r="AZ257" s="3"/>
      <c r="BA257" s="3"/>
      <c r="BF257" s="3"/>
      <c r="BG257" s="3"/>
      <c r="BI257" s="3"/>
      <c r="BJ257" s="3"/>
      <c r="BO257" s="3"/>
      <c r="BP257" s="3"/>
      <c r="BR257" s="3"/>
      <c r="BS257" s="3"/>
      <c r="BX257" s="3"/>
      <c r="BY257" s="3"/>
      <c r="CA257" s="3"/>
      <c r="CB257" s="3"/>
      <c r="CC257" s="3"/>
      <c r="CG257" s="3"/>
      <c r="CH257" s="3"/>
      <c r="CJ257" s="3"/>
      <c r="CK257" s="3"/>
      <c r="CP257" s="3"/>
      <c r="CQ257" s="3"/>
      <c r="CS257" s="3"/>
      <c r="CT257" s="3"/>
      <c r="CY257" s="3"/>
      <c r="CZ257" s="3"/>
      <c r="DB257" s="3"/>
      <c r="DC257" s="3"/>
    </row>
    <row r="258" spans="4:107" x14ac:dyDescent="0.3">
      <c r="D258" s="3"/>
      <c r="E258" s="40"/>
      <c r="G258" s="3"/>
      <c r="H258" s="3"/>
      <c r="I258" s="3"/>
      <c r="M258" s="3"/>
      <c r="N258" s="40"/>
      <c r="P258" s="3"/>
      <c r="Q258" s="3"/>
      <c r="R258" s="3"/>
      <c r="V258" s="3"/>
      <c r="W258" s="40"/>
      <c r="Y258" s="3"/>
      <c r="Z258" s="3"/>
      <c r="AA258" s="3"/>
      <c r="AE258" s="3"/>
      <c r="AF258" s="3"/>
      <c r="AH258" s="3"/>
      <c r="AI258" s="3"/>
      <c r="AJ258" s="3"/>
      <c r="AN258" s="3"/>
      <c r="AO258" s="3"/>
      <c r="AQ258" s="3"/>
      <c r="AR258" s="3"/>
      <c r="AW258" s="3"/>
      <c r="AX258" s="3"/>
      <c r="AZ258" s="3"/>
      <c r="BA258" s="3"/>
      <c r="BF258" s="3"/>
      <c r="BG258" s="3"/>
      <c r="BI258" s="3"/>
      <c r="BJ258" s="3"/>
      <c r="BO258" s="3"/>
      <c r="BP258" s="3"/>
      <c r="BR258" s="3"/>
      <c r="BS258" s="3"/>
      <c r="BX258" s="3"/>
      <c r="BY258" s="3"/>
      <c r="CA258" s="3"/>
      <c r="CB258" s="3"/>
      <c r="CC258" s="3"/>
      <c r="CG258" s="3"/>
      <c r="CH258" s="3"/>
      <c r="CJ258" s="3"/>
      <c r="CK258" s="3"/>
      <c r="CP258" s="3"/>
      <c r="CQ258" s="3"/>
      <c r="CS258" s="3"/>
      <c r="CT258" s="3"/>
      <c r="CY258" s="3"/>
      <c r="CZ258" s="3"/>
      <c r="DB258" s="3"/>
      <c r="DC258" s="3"/>
    </row>
    <row r="259" spans="4:107" x14ac:dyDescent="0.3">
      <c r="D259" s="3"/>
      <c r="E259" s="40"/>
      <c r="G259" s="3"/>
      <c r="H259" s="3"/>
      <c r="I259" s="3"/>
      <c r="M259" s="3"/>
      <c r="N259" s="40"/>
      <c r="P259" s="3"/>
      <c r="Q259" s="3"/>
      <c r="R259" s="3"/>
      <c r="V259" s="3"/>
      <c r="W259" s="40"/>
      <c r="Y259" s="3"/>
      <c r="Z259" s="3"/>
      <c r="AA259" s="3"/>
      <c r="AE259" s="3"/>
      <c r="AF259" s="3"/>
      <c r="AH259" s="3"/>
      <c r="AI259" s="3"/>
      <c r="AJ259" s="3"/>
      <c r="AN259" s="3"/>
      <c r="AO259" s="3"/>
      <c r="AQ259" s="3"/>
      <c r="AR259" s="3"/>
      <c r="AW259" s="3"/>
      <c r="AX259" s="3"/>
      <c r="AZ259" s="3"/>
      <c r="BA259" s="3"/>
      <c r="BF259" s="3"/>
      <c r="BG259" s="3"/>
      <c r="BI259" s="3"/>
      <c r="BJ259" s="3"/>
      <c r="BO259" s="3"/>
      <c r="BP259" s="3"/>
      <c r="BR259" s="3"/>
      <c r="BS259" s="3"/>
      <c r="BX259" s="3"/>
      <c r="BY259" s="3"/>
      <c r="CA259" s="3"/>
      <c r="CB259" s="3"/>
      <c r="CC259" s="3"/>
      <c r="CG259" s="3"/>
      <c r="CH259" s="3"/>
      <c r="CJ259" s="3"/>
      <c r="CK259" s="3"/>
      <c r="CP259" s="3"/>
      <c r="CQ259" s="3"/>
      <c r="CS259" s="3"/>
      <c r="CT259" s="3"/>
      <c r="CY259" s="3"/>
      <c r="CZ259" s="3"/>
      <c r="DB259" s="3"/>
      <c r="DC259" s="3"/>
    </row>
    <row r="260" spans="4:107" x14ac:dyDescent="0.3">
      <c r="D260" s="3"/>
      <c r="E260" s="40"/>
      <c r="G260" s="3"/>
      <c r="H260" s="3"/>
      <c r="I260" s="3"/>
      <c r="M260" s="3"/>
      <c r="N260" s="40"/>
      <c r="P260" s="3"/>
      <c r="Q260" s="3"/>
      <c r="R260" s="3"/>
      <c r="V260" s="3"/>
      <c r="W260" s="40"/>
      <c r="Y260" s="3"/>
      <c r="Z260" s="3"/>
      <c r="AA260" s="3"/>
      <c r="AE260" s="3"/>
      <c r="AF260" s="3"/>
      <c r="AH260" s="3"/>
      <c r="AI260" s="3"/>
      <c r="AJ260" s="3"/>
      <c r="AN260" s="3"/>
      <c r="AO260" s="3"/>
      <c r="AQ260" s="3"/>
      <c r="AR260" s="3"/>
      <c r="AW260" s="3"/>
      <c r="AX260" s="3"/>
      <c r="AZ260" s="3"/>
      <c r="BA260" s="3"/>
      <c r="BF260" s="3"/>
      <c r="BG260" s="3"/>
      <c r="BI260" s="3"/>
      <c r="BJ260" s="3"/>
      <c r="BO260" s="3"/>
      <c r="BP260" s="3"/>
      <c r="BR260" s="3"/>
      <c r="BS260" s="3"/>
      <c r="BX260" s="3"/>
      <c r="BY260" s="3"/>
      <c r="CA260" s="3"/>
      <c r="CB260" s="3"/>
      <c r="CC260" s="3"/>
      <c r="CG260" s="3"/>
      <c r="CH260" s="3"/>
      <c r="CJ260" s="3"/>
      <c r="CK260" s="3"/>
      <c r="CP260" s="3"/>
      <c r="CQ260" s="3"/>
      <c r="CS260" s="3"/>
      <c r="CT260" s="3"/>
      <c r="CY260" s="3"/>
      <c r="CZ260" s="3"/>
      <c r="DB260" s="3"/>
      <c r="DC260" s="3"/>
    </row>
    <row r="261" spans="4:107" x14ac:dyDescent="0.3">
      <c r="D261" s="3"/>
      <c r="E261" s="40"/>
      <c r="G261" s="3"/>
      <c r="H261" s="3"/>
      <c r="I261" s="3"/>
      <c r="M261" s="3"/>
      <c r="N261" s="40"/>
      <c r="P261" s="3"/>
      <c r="Q261" s="3"/>
      <c r="R261" s="3"/>
      <c r="V261" s="3"/>
      <c r="W261" s="40"/>
      <c r="Y261" s="3"/>
      <c r="Z261" s="3"/>
      <c r="AA261" s="3"/>
      <c r="AE261" s="3"/>
      <c r="AF261" s="3"/>
      <c r="AH261" s="3"/>
      <c r="AI261" s="3"/>
      <c r="AJ261" s="3"/>
      <c r="AN261" s="3"/>
      <c r="AO261" s="3"/>
      <c r="AQ261" s="3"/>
      <c r="AR261" s="3"/>
      <c r="AW261" s="3"/>
      <c r="AX261" s="3"/>
      <c r="AZ261" s="3"/>
      <c r="BA261" s="3"/>
      <c r="BF261" s="3"/>
      <c r="BG261" s="3"/>
      <c r="BI261" s="3"/>
      <c r="BJ261" s="3"/>
      <c r="BO261" s="3"/>
      <c r="BP261" s="3"/>
      <c r="BR261" s="3"/>
      <c r="BS261" s="3"/>
      <c r="BX261" s="3"/>
      <c r="BY261" s="3"/>
      <c r="CA261" s="3"/>
      <c r="CB261" s="3"/>
      <c r="CC261" s="3"/>
      <c r="CG261" s="3"/>
      <c r="CH261" s="3"/>
      <c r="CJ261" s="3"/>
      <c r="CK261" s="3"/>
      <c r="CP261" s="3"/>
      <c r="CQ261" s="3"/>
      <c r="CS261" s="3"/>
      <c r="CT261" s="3"/>
      <c r="CY261" s="3"/>
      <c r="CZ261" s="3"/>
      <c r="DB261" s="3"/>
      <c r="DC261" s="3"/>
    </row>
    <row r="262" spans="4:107" x14ac:dyDescent="0.3">
      <c r="D262" s="3"/>
      <c r="E262" s="40"/>
      <c r="G262" s="3"/>
      <c r="H262" s="3"/>
      <c r="I262" s="3"/>
      <c r="M262" s="3"/>
      <c r="N262" s="40"/>
      <c r="P262" s="3"/>
      <c r="Q262" s="3"/>
      <c r="R262" s="3"/>
      <c r="V262" s="3"/>
      <c r="W262" s="40"/>
      <c r="Y262" s="3"/>
      <c r="Z262" s="3"/>
      <c r="AA262" s="3"/>
      <c r="AE262" s="3"/>
      <c r="AF262" s="3"/>
      <c r="AH262" s="3"/>
      <c r="AI262" s="3"/>
      <c r="AJ262" s="3"/>
      <c r="AN262" s="3"/>
      <c r="AO262" s="3"/>
      <c r="AQ262" s="3"/>
      <c r="AR262" s="3"/>
      <c r="AW262" s="3"/>
      <c r="AX262" s="3"/>
      <c r="AZ262" s="3"/>
      <c r="BA262" s="3"/>
      <c r="BF262" s="3"/>
      <c r="BG262" s="3"/>
      <c r="BI262" s="3"/>
      <c r="BJ262" s="3"/>
      <c r="BO262" s="3"/>
      <c r="BP262" s="3"/>
      <c r="BR262" s="3"/>
      <c r="BS262" s="3"/>
      <c r="BX262" s="3"/>
      <c r="BY262" s="3"/>
      <c r="CA262" s="3"/>
      <c r="CB262" s="3"/>
      <c r="CC262" s="3"/>
      <c r="CG262" s="3"/>
      <c r="CH262" s="3"/>
      <c r="CJ262" s="3"/>
      <c r="CK262" s="3"/>
      <c r="CP262" s="3"/>
      <c r="CQ262" s="3"/>
      <c r="CS262" s="3"/>
      <c r="CT262" s="3"/>
      <c r="CY262" s="3"/>
      <c r="CZ262" s="3"/>
      <c r="DB262" s="3"/>
      <c r="DC262" s="3"/>
    </row>
    <row r="263" spans="4:107" x14ac:dyDescent="0.3">
      <c r="D263" s="3"/>
      <c r="E263" s="40"/>
      <c r="G263" s="3"/>
      <c r="H263" s="3"/>
      <c r="I263" s="3"/>
      <c r="M263" s="3"/>
      <c r="N263" s="40"/>
      <c r="P263" s="3"/>
      <c r="Q263" s="3"/>
      <c r="R263" s="3"/>
      <c r="V263" s="3"/>
      <c r="W263" s="40"/>
      <c r="Y263" s="3"/>
      <c r="Z263" s="3"/>
      <c r="AA263" s="3"/>
      <c r="AE263" s="3"/>
      <c r="AF263" s="3"/>
      <c r="AH263" s="3"/>
      <c r="AI263" s="3"/>
      <c r="AJ263" s="3"/>
      <c r="AN263" s="3"/>
      <c r="AO263" s="3"/>
      <c r="AQ263" s="3"/>
      <c r="AR263" s="3"/>
      <c r="AW263" s="3"/>
      <c r="AX263" s="3"/>
      <c r="AZ263" s="3"/>
      <c r="BA263" s="3"/>
      <c r="BF263" s="3"/>
      <c r="BG263" s="3"/>
      <c r="BI263" s="3"/>
      <c r="BJ263" s="3"/>
      <c r="BO263" s="3"/>
      <c r="BP263" s="3"/>
      <c r="BR263" s="3"/>
      <c r="BS263" s="3"/>
      <c r="BX263" s="3"/>
      <c r="BY263" s="3"/>
      <c r="CA263" s="3"/>
      <c r="CB263" s="3"/>
      <c r="CC263" s="3"/>
      <c r="CG263" s="3"/>
      <c r="CH263" s="3"/>
      <c r="CJ263" s="3"/>
      <c r="CK263" s="3"/>
      <c r="CP263" s="3"/>
      <c r="CQ263" s="3"/>
      <c r="CS263" s="3"/>
      <c r="CT263" s="3"/>
      <c r="CY263" s="3"/>
      <c r="CZ263" s="3"/>
      <c r="DB263" s="3"/>
      <c r="DC263" s="3"/>
    </row>
    <row r="264" spans="4:107" x14ac:dyDescent="0.3">
      <c r="D264" s="3"/>
      <c r="E264" s="40"/>
      <c r="G264" s="3"/>
      <c r="H264" s="3"/>
      <c r="I264" s="3"/>
      <c r="M264" s="3"/>
      <c r="N264" s="40"/>
      <c r="P264" s="3"/>
      <c r="Q264" s="3"/>
      <c r="R264" s="3"/>
      <c r="V264" s="3"/>
      <c r="W264" s="40"/>
      <c r="Y264" s="3"/>
      <c r="Z264" s="3"/>
      <c r="AA264" s="3"/>
      <c r="AE264" s="3"/>
      <c r="AF264" s="3"/>
      <c r="AH264" s="3"/>
      <c r="AI264" s="3"/>
      <c r="AJ264" s="3"/>
      <c r="AN264" s="3"/>
      <c r="AO264" s="3"/>
      <c r="AQ264" s="3"/>
      <c r="AR264" s="3"/>
      <c r="AW264" s="3"/>
      <c r="AX264" s="3"/>
      <c r="AZ264" s="3"/>
      <c r="BA264" s="3"/>
      <c r="BF264" s="3"/>
      <c r="BG264" s="3"/>
      <c r="BI264" s="3"/>
      <c r="BJ264" s="3"/>
      <c r="BO264" s="3"/>
      <c r="BP264" s="3"/>
      <c r="BR264" s="3"/>
      <c r="BS264" s="3"/>
      <c r="BX264" s="3"/>
      <c r="BY264" s="3"/>
      <c r="CA264" s="3"/>
      <c r="CB264" s="3"/>
      <c r="CC264" s="3"/>
      <c r="CG264" s="3"/>
      <c r="CH264" s="3"/>
      <c r="CJ264" s="3"/>
      <c r="CK264" s="3"/>
      <c r="CP264" s="3"/>
      <c r="CQ264" s="3"/>
      <c r="CS264" s="3"/>
      <c r="CT264" s="3"/>
      <c r="CY264" s="3"/>
      <c r="CZ264" s="3"/>
      <c r="DB264" s="3"/>
      <c r="DC264" s="3"/>
    </row>
    <row r="265" spans="4:107" x14ac:dyDescent="0.3">
      <c r="D265" s="3"/>
      <c r="E265" s="40"/>
      <c r="G265" s="3"/>
      <c r="H265" s="3"/>
      <c r="I265" s="3"/>
      <c r="M265" s="3"/>
      <c r="N265" s="40"/>
      <c r="P265" s="3"/>
      <c r="Q265" s="3"/>
      <c r="R265" s="3"/>
      <c r="V265" s="3"/>
      <c r="W265" s="40"/>
      <c r="Y265" s="3"/>
      <c r="Z265" s="3"/>
      <c r="AA265" s="3"/>
      <c r="AE265" s="3"/>
      <c r="AF265" s="3"/>
      <c r="AH265" s="3"/>
      <c r="AI265" s="3"/>
      <c r="AJ265" s="3"/>
      <c r="AN265" s="3"/>
      <c r="AO265" s="3"/>
      <c r="AQ265" s="3"/>
      <c r="AR265" s="3"/>
      <c r="AW265" s="3"/>
      <c r="AX265" s="3"/>
      <c r="AZ265" s="3"/>
      <c r="BA265" s="3"/>
      <c r="BF265" s="3"/>
      <c r="BG265" s="3"/>
      <c r="BI265" s="3"/>
      <c r="BJ265" s="3"/>
      <c r="BO265" s="3"/>
      <c r="BP265" s="3"/>
      <c r="BR265" s="3"/>
      <c r="BS265" s="3"/>
      <c r="BX265" s="3"/>
      <c r="BY265" s="3"/>
      <c r="CA265" s="3"/>
      <c r="CB265" s="3"/>
      <c r="CC265" s="3"/>
      <c r="CG265" s="3"/>
      <c r="CH265" s="3"/>
      <c r="CJ265" s="3"/>
      <c r="CK265" s="3"/>
      <c r="CP265" s="3"/>
      <c r="CQ265" s="3"/>
      <c r="CS265" s="3"/>
      <c r="CT265" s="3"/>
      <c r="CY265" s="3"/>
      <c r="CZ265" s="3"/>
      <c r="DB265" s="3"/>
      <c r="DC265" s="3"/>
    </row>
    <row r="266" spans="4:107" x14ac:dyDescent="0.3">
      <c r="D266" s="3"/>
      <c r="E266" s="40"/>
      <c r="G266" s="3"/>
      <c r="H266" s="3"/>
      <c r="I266" s="3"/>
      <c r="M266" s="3"/>
      <c r="N266" s="40"/>
      <c r="P266" s="3"/>
      <c r="Q266" s="3"/>
      <c r="R266" s="3"/>
      <c r="V266" s="3"/>
      <c r="W266" s="40"/>
      <c r="Y266" s="3"/>
      <c r="Z266" s="3"/>
      <c r="AA266" s="3"/>
      <c r="AE266" s="3"/>
      <c r="AF266" s="3"/>
      <c r="AH266" s="3"/>
      <c r="AI266" s="3"/>
      <c r="AJ266" s="3"/>
      <c r="AN266" s="3"/>
      <c r="AO266" s="3"/>
      <c r="AQ266" s="3"/>
      <c r="AR266" s="3"/>
      <c r="AW266" s="3"/>
      <c r="AX266" s="3"/>
      <c r="AZ266" s="3"/>
      <c r="BA266" s="3"/>
      <c r="BF266" s="3"/>
      <c r="BG266" s="3"/>
      <c r="BI266" s="3"/>
      <c r="BJ266" s="3"/>
      <c r="BO266" s="3"/>
      <c r="BP266" s="3"/>
      <c r="BR266" s="3"/>
      <c r="BS266" s="3"/>
      <c r="BX266" s="3"/>
      <c r="BY266" s="3"/>
      <c r="CA266" s="3"/>
      <c r="CB266" s="3"/>
      <c r="CC266" s="3"/>
      <c r="CG266" s="3"/>
      <c r="CH266" s="3"/>
      <c r="CJ266" s="3"/>
      <c r="CK266" s="3"/>
      <c r="CP266" s="3"/>
      <c r="CQ266" s="3"/>
      <c r="CS266" s="3"/>
      <c r="CT266" s="3"/>
      <c r="CY266" s="3"/>
      <c r="CZ266" s="3"/>
      <c r="DB266" s="3"/>
      <c r="DC266" s="3"/>
    </row>
    <row r="267" spans="4:107" x14ac:dyDescent="0.3">
      <c r="D267" s="3"/>
      <c r="E267" s="40"/>
      <c r="G267" s="3"/>
      <c r="H267" s="3"/>
      <c r="I267" s="3"/>
      <c r="M267" s="3"/>
      <c r="N267" s="40"/>
      <c r="P267" s="3"/>
      <c r="Q267" s="3"/>
      <c r="R267" s="3"/>
      <c r="V267" s="3"/>
      <c r="W267" s="40"/>
      <c r="Y267" s="3"/>
      <c r="Z267" s="3"/>
      <c r="AA267" s="3"/>
      <c r="AE267" s="3"/>
      <c r="AF267" s="3"/>
      <c r="AH267" s="3"/>
      <c r="AI267" s="3"/>
      <c r="AJ267" s="3"/>
      <c r="AN267" s="3"/>
      <c r="AO267" s="3"/>
      <c r="AQ267" s="3"/>
      <c r="AR267" s="3"/>
      <c r="AW267" s="3"/>
      <c r="AX267" s="3"/>
      <c r="AZ267" s="3"/>
      <c r="BA267" s="3"/>
      <c r="BF267" s="3"/>
      <c r="BG267" s="3"/>
      <c r="BI267" s="3"/>
      <c r="BJ267" s="3"/>
      <c r="BO267" s="3"/>
      <c r="BP267" s="3"/>
      <c r="BR267" s="3"/>
      <c r="BS267" s="3"/>
      <c r="BX267" s="3"/>
      <c r="BY267" s="3"/>
      <c r="CA267" s="3"/>
      <c r="CB267" s="3"/>
      <c r="CC267" s="3"/>
      <c r="CG267" s="3"/>
      <c r="CH267" s="3"/>
      <c r="CJ267" s="3"/>
      <c r="CK267" s="3"/>
      <c r="CP267" s="3"/>
      <c r="CQ267" s="3"/>
      <c r="CS267" s="3"/>
      <c r="CT267" s="3"/>
      <c r="CY267" s="3"/>
      <c r="CZ267" s="3"/>
      <c r="DB267" s="3"/>
      <c r="DC267" s="3"/>
    </row>
    <row r="268" spans="4:107" x14ac:dyDescent="0.3">
      <c r="D268" s="3"/>
      <c r="E268" s="40"/>
      <c r="G268" s="3"/>
      <c r="H268" s="3"/>
      <c r="I268" s="3"/>
      <c r="M268" s="3"/>
      <c r="N268" s="40"/>
      <c r="P268" s="3"/>
      <c r="Q268" s="3"/>
      <c r="R268" s="3"/>
      <c r="V268" s="3"/>
      <c r="W268" s="40"/>
      <c r="Y268" s="3"/>
      <c r="Z268" s="3"/>
      <c r="AA268" s="3"/>
      <c r="AE268" s="3"/>
      <c r="AF268" s="3"/>
      <c r="AH268" s="3"/>
      <c r="AI268" s="3"/>
      <c r="AJ268" s="3"/>
      <c r="AN268" s="3"/>
      <c r="AO268" s="3"/>
      <c r="AQ268" s="3"/>
      <c r="AR268" s="3"/>
      <c r="AW268" s="3"/>
      <c r="AX268" s="3"/>
      <c r="AZ268" s="3"/>
      <c r="BA268" s="3"/>
      <c r="BF268" s="3"/>
      <c r="BG268" s="3"/>
      <c r="BI268" s="3"/>
      <c r="BJ268" s="3"/>
      <c r="BO268" s="3"/>
      <c r="BP268" s="3"/>
      <c r="BR268" s="3"/>
      <c r="BS268" s="3"/>
      <c r="BX268" s="3"/>
      <c r="BY268" s="3"/>
      <c r="CA268" s="3"/>
      <c r="CB268" s="3"/>
      <c r="CC268" s="3"/>
      <c r="CG268" s="3"/>
      <c r="CH268" s="3"/>
      <c r="CJ268" s="3"/>
      <c r="CK268" s="3"/>
      <c r="CP268" s="3"/>
      <c r="CQ268" s="3"/>
      <c r="CS268" s="3"/>
      <c r="CT268" s="3"/>
      <c r="CY268" s="3"/>
      <c r="CZ268" s="3"/>
      <c r="DB268" s="3"/>
      <c r="DC268" s="3"/>
    </row>
    <row r="269" spans="4:107" x14ac:dyDescent="0.3">
      <c r="D269" s="3"/>
      <c r="E269" s="40"/>
      <c r="G269" s="3"/>
      <c r="H269" s="3"/>
      <c r="I269" s="3"/>
      <c r="M269" s="3"/>
      <c r="N269" s="40"/>
      <c r="P269" s="3"/>
      <c r="Q269" s="3"/>
      <c r="R269" s="3"/>
      <c r="V269" s="3"/>
      <c r="W269" s="40"/>
      <c r="Y269" s="3"/>
      <c r="Z269" s="3"/>
      <c r="AA269" s="3"/>
      <c r="AE269" s="3"/>
      <c r="AF269" s="3"/>
      <c r="AH269" s="3"/>
      <c r="AI269" s="3"/>
      <c r="AJ269" s="3"/>
      <c r="AN269" s="3"/>
      <c r="AO269" s="3"/>
      <c r="AQ269" s="3"/>
      <c r="AR269" s="3"/>
      <c r="AW269" s="3"/>
      <c r="AX269" s="3"/>
      <c r="AZ269" s="3"/>
      <c r="BA269" s="3"/>
      <c r="BF269" s="3"/>
      <c r="BG269" s="3"/>
      <c r="BI269" s="3"/>
      <c r="BJ269" s="3"/>
      <c r="BO269" s="3"/>
      <c r="BP269" s="3"/>
      <c r="BR269" s="3"/>
      <c r="BS269" s="3"/>
      <c r="BX269" s="3"/>
      <c r="BY269" s="3"/>
      <c r="CA269" s="3"/>
      <c r="CB269" s="3"/>
      <c r="CC269" s="3"/>
      <c r="CG269" s="3"/>
      <c r="CH269" s="3"/>
      <c r="CJ269" s="3"/>
      <c r="CK269" s="3"/>
      <c r="CP269" s="3"/>
      <c r="CQ269" s="3"/>
      <c r="CS269" s="3"/>
      <c r="CT269" s="3"/>
      <c r="CY269" s="3"/>
      <c r="CZ269" s="3"/>
      <c r="DB269" s="3"/>
      <c r="DC269" s="3"/>
    </row>
    <row r="270" spans="4:107" x14ac:dyDescent="0.3">
      <c r="D270" s="3"/>
      <c r="E270" s="40"/>
      <c r="G270" s="3"/>
      <c r="H270" s="3"/>
      <c r="I270" s="3"/>
      <c r="M270" s="3"/>
      <c r="N270" s="40"/>
      <c r="P270" s="3"/>
      <c r="Q270" s="3"/>
      <c r="R270" s="3"/>
      <c r="V270" s="3"/>
      <c r="W270" s="40"/>
      <c r="Y270" s="3"/>
      <c r="Z270" s="3"/>
      <c r="AA270" s="3"/>
      <c r="AE270" s="3"/>
      <c r="AF270" s="3"/>
      <c r="AH270" s="3"/>
      <c r="AI270" s="3"/>
      <c r="AJ270" s="3"/>
      <c r="AN270" s="3"/>
      <c r="AO270" s="3"/>
      <c r="AQ270" s="3"/>
      <c r="AR270" s="3"/>
      <c r="AW270" s="3"/>
      <c r="AX270" s="3"/>
      <c r="AZ270" s="3"/>
      <c r="BA270" s="3"/>
      <c r="BF270" s="3"/>
      <c r="BG270" s="3"/>
      <c r="BI270" s="3"/>
      <c r="BJ270" s="3"/>
      <c r="BO270" s="3"/>
      <c r="BP270" s="3"/>
      <c r="BR270" s="3"/>
      <c r="BS270" s="3"/>
      <c r="BX270" s="3"/>
      <c r="BY270" s="3"/>
      <c r="CA270" s="3"/>
      <c r="CB270" s="3"/>
      <c r="CC270" s="3"/>
      <c r="CG270" s="3"/>
      <c r="CH270" s="3"/>
      <c r="CJ270" s="3"/>
      <c r="CK270" s="3"/>
      <c r="CP270" s="3"/>
      <c r="CQ270" s="3"/>
      <c r="CS270" s="3"/>
      <c r="CT270" s="3"/>
      <c r="CY270" s="3"/>
      <c r="CZ270" s="3"/>
      <c r="DB270" s="3"/>
      <c r="DC270" s="3"/>
    </row>
  </sheetData>
  <mergeCells count="60">
    <mergeCell ref="M7:N7"/>
    <mergeCell ref="O7:O8"/>
    <mergeCell ref="P7:P8"/>
    <mergeCell ref="Q7:Q8"/>
    <mergeCell ref="I7:I8"/>
    <mergeCell ref="G7:G8"/>
    <mergeCell ref="F7:F8"/>
    <mergeCell ref="D7:E7"/>
    <mergeCell ref="H7:H8"/>
    <mergeCell ref="AW7:AX7"/>
    <mergeCell ref="R7:R8"/>
    <mergeCell ref="V7:W7"/>
    <mergeCell ref="AI7:AI8"/>
    <mergeCell ref="AJ7:AJ8"/>
    <mergeCell ref="Y7:Y8"/>
    <mergeCell ref="Z7:Z8"/>
    <mergeCell ref="AA7:AA8"/>
    <mergeCell ref="AE7:AF7"/>
    <mergeCell ref="AG7:AG8"/>
    <mergeCell ref="AH7:AH8"/>
    <mergeCell ref="X7:X8"/>
    <mergeCell ref="AN7:AO7"/>
    <mergeCell ref="AP7:AP8"/>
    <mergeCell ref="AQ7:AQ8"/>
    <mergeCell ref="AR7:AR8"/>
    <mergeCell ref="AS7:AS8"/>
    <mergeCell ref="BR7:BR8"/>
    <mergeCell ref="AY7:AY8"/>
    <mergeCell ref="AZ7:AZ8"/>
    <mergeCell ref="BA7:BA8"/>
    <mergeCell ref="BB7:BB8"/>
    <mergeCell ref="BF7:BG7"/>
    <mergeCell ref="BH7:BH8"/>
    <mergeCell ref="BI7:BI8"/>
    <mergeCell ref="BJ7:BJ8"/>
    <mergeCell ref="BK7:BK8"/>
    <mergeCell ref="BO7:BP7"/>
    <mergeCell ref="BQ7:BQ8"/>
    <mergeCell ref="CL7:CL8"/>
    <mergeCell ref="BS7:BS8"/>
    <mergeCell ref="BT7:BT8"/>
    <mergeCell ref="BX7:BY7"/>
    <mergeCell ref="BZ7:BZ8"/>
    <mergeCell ref="CA7:CA8"/>
    <mergeCell ref="CB7:CB8"/>
    <mergeCell ref="CC7:CC8"/>
    <mergeCell ref="CG7:CH7"/>
    <mergeCell ref="CI7:CI8"/>
    <mergeCell ref="CJ7:CJ8"/>
    <mergeCell ref="CK7:CK8"/>
    <mergeCell ref="DA7:DA8"/>
    <mergeCell ref="DB7:DB8"/>
    <mergeCell ref="DC7:DC8"/>
    <mergeCell ref="DD7:DD8"/>
    <mergeCell ref="CP7:CQ7"/>
    <mergeCell ref="CR7:CR8"/>
    <mergeCell ref="CS7:CS8"/>
    <mergeCell ref="CT7:CT8"/>
    <mergeCell ref="CU7:CU8"/>
    <mergeCell ref="CY7:CZ7"/>
  </mergeCells>
  <phoneticPr fontId="1" type="noConversion"/>
  <dataValidations count="3">
    <dataValidation type="whole" allowBlank="1" showInputMessage="1" showErrorMessage="1" sqref="D10:D149 V10 M10:M114">
      <formula1>1</formula1>
      <formula2>12</formula2>
    </dataValidation>
    <dataValidation type="whole" allowBlank="1" showInputMessage="1" showErrorMessage="1" sqref="E18:E19 E13 E15:E16 E29:E30 E27 E21:E23 E25 E32:E34 E36:E37 E39:E42 E53:E54 E44:E48 E50:E51 E71 E64:E68 E62 E56:E57 E59:E60 E73:E76 E78:E80 E89:E90 E96:E97 E92:E94 E82:E87 E108 E105:E106 E99:E103 E110:E111 E113:E116 E118 E120:E123 E125:E127 E129:E130 E146:E149 E139:E144 E132:E135 E137 N17 N15 N10:N11 N13 N19:N22 N24:N26 N28 N30:N33 N35 N42:N43 N37:N40 N45:N47 N49:N50 N52 N54 N56:N58 N60:N61 N63:N64 N81:N82 N66:N70 N72:N73 N75:N79 N84:N87 N89 N91:N94 N96:N97 N99:N104 N106:N108 N110:N111 E10:E11 W10 N113:N114">
      <formula1>1</formula1>
      <formula2>31</formula2>
    </dataValidation>
    <dataValidation type="decimal" operator="greaterThan" allowBlank="1" showInputMessage="1" showErrorMessage="1" sqref="Y10:Z10 G10:H149 P10:Q114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9" r:id="rId4" name="Button 69">
              <controlPr defaultSize="0" print="0" autoFill="0" autoPict="0" macro="[0]!日記簿增列1">
                <anchor moveWithCells="1" sizeWithCells="1">
                  <from>
                    <xdr:col>7</xdr:col>
                    <xdr:colOff>601980</xdr:colOff>
                    <xdr:row>4</xdr:row>
                    <xdr:rowOff>106680</xdr:rowOff>
                  </from>
                  <to>
                    <xdr:col>8</xdr:col>
                    <xdr:colOff>403860</xdr:colOff>
                    <xdr:row>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0" r:id="rId5" name="Button 70">
              <controlPr defaultSize="0" print="0" autoFill="0" autoPict="0" macro="[0]!日記簿增列2">
                <anchor moveWithCells="1" sizeWithCells="1">
                  <from>
                    <xdr:col>16</xdr:col>
                    <xdr:colOff>601980</xdr:colOff>
                    <xdr:row>4</xdr:row>
                    <xdr:rowOff>106680</xdr:rowOff>
                  </from>
                  <to>
                    <xdr:col>17</xdr:col>
                    <xdr:colOff>403860</xdr:colOff>
                    <xdr:row>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1" r:id="rId6" name="Button 71">
              <controlPr defaultSize="0" print="0" autoFill="0" autoPict="0" macro="[0]!日記簿增列3">
                <anchor moveWithCells="1" sizeWithCells="1">
                  <from>
                    <xdr:col>25</xdr:col>
                    <xdr:colOff>601980</xdr:colOff>
                    <xdr:row>4</xdr:row>
                    <xdr:rowOff>106680</xdr:rowOff>
                  </from>
                  <to>
                    <xdr:col>26</xdr:col>
                    <xdr:colOff>403860</xdr:colOff>
                    <xdr:row>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2" r:id="rId7" name="Button 72">
              <controlPr defaultSize="0" print="0" autoFill="0" autoPict="0" macro="[0]!日記簿增列4">
                <anchor moveWithCells="1" sizeWithCells="1">
                  <from>
                    <xdr:col>34</xdr:col>
                    <xdr:colOff>601980</xdr:colOff>
                    <xdr:row>4</xdr:row>
                    <xdr:rowOff>106680</xdr:rowOff>
                  </from>
                  <to>
                    <xdr:col>35</xdr:col>
                    <xdr:colOff>403860</xdr:colOff>
                    <xdr:row>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3" r:id="rId8" name="Button 73">
              <controlPr defaultSize="0" print="0" autoFill="0" autoPict="0" macro="[0]!日記簿增列5">
                <anchor moveWithCells="1" sizeWithCells="1">
                  <from>
                    <xdr:col>43</xdr:col>
                    <xdr:colOff>601980</xdr:colOff>
                    <xdr:row>4</xdr:row>
                    <xdr:rowOff>106680</xdr:rowOff>
                  </from>
                  <to>
                    <xdr:col>44</xdr:col>
                    <xdr:colOff>403860</xdr:colOff>
                    <xdr:row>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4" r:id="rId9" name="Button 74">
              <controlPr defaultSize="0" print="0" autoFill="0" autoPict="0" macro="[0]!日記簿增列6">
                <anchor moveWithCells="1" sizeWithCells="1">
                  <from>
                    <xdr:col>52</xdr:col>
                    <xdr:colOff>601980</xdr:colOff>
                    <xdr:row>4</xdr:row>
                    <xdr:rowOff>106680</xdr:rowOff>
                  </from>
                  <to>
                    <xdr:col>53</xdr:col>
                    <xdr:colOff>403860</xdr:colOff>
                    <xdr:row>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5" r:id="rId10" name="Button 75">
              <controlPr defaultSize="0" print="0" autoFill="0" autoPict="0" macro="[0]!日記簿增列7">
                <anchor moveWithCells="1" sizeWithCells="1">
                  <from>
                    <xdr:col>61</xdr:col>
                    <xdr:colOff>601980</xdr:colOff>
                    <xdr:row>4</xdr:row>
                    <xdr:rowOff>106680</xdr:rowOff>
                  </from>
                  <to>
                    <xdr:col>62</xdr:col>
                    <xdr:colOff>403860</xdr:colOff>
                    <xdr:row>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6" r:id="rId11" name="Button 76">
              <controlPr defaultSize="0" print="0" autoFill="0" autoPict="0" macro="[0]!日記簿增列8">
                <anchor moveWithCells="1" sizeWithCells="1">
                  <from>
                    <xdr:col>70</xdr:col>
                    <xdr:colOff>609600</xdr:colOff>
                    <xdr:row>4</xdr:row>
                    <xdr:rowOff>106680</xdr:rowOff>
                  </from>
                  <to>
                    <xdr:col>72</xdr:col>
                    <xdr:colOff>0</xdr:colOff>
                    <xdr:row>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7" r:id="rId12" name="Button 77">
              <controlPr defaultSize="0" print="0" autoFill="0" autoPict="0" macro="[0]!日記簿增列9">
                <anchor moveWithCells="1" sizeWithCells="1">
                  <from>
                    <xdr:col>79</xdr:col>
                    <xdr:colOff>601980</xdr:colOff>
                    <xdr:row>4</xdr:row>
                    <xdr:rowOff>99060</xdr:rowOff>
                  </from>
                  <to>
                    <xdr:col>80</xdr:col>
                    <xdr:colOff>403860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8" r:id="rId13" name="Button 78">
              <controlPr defaultSize="0" print="0" autoFill="0" autoPict="0" macro="[0]!日記簿增列10">
                <anchor moveWithCells="1" sizeWithCells="1">
                  <from>
                    <xdr:col>88</xdr:col>
                    <xdr:colOff>609600</xdr:colOff>
                    <xdr:row>4</xdr:row>
                    <xdr:rowOff>106680</xdr:rowOff>
                  </from>
                  <to>
                    <xdr:col>90</xdr:col>
                    <xdr:colOff>0</xdr:colOff>
                    <xdr:row>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9" r:id="rId14" name="Button 79">
              <controlPr defaultSize="0" print="0" autoFill="0" autoPict="0" macro="[0]!日記簿增列11">
                <anchor moveWithCells="1" sizeWithCells="1">
                  <from>
                    <xdr:col>97</xdr:col>
                    <xdr:colOff>601980</xdr:colOff>
                    <xdr:row>4</xdr:row>
                    <xdr:rowOff>99060</xdr:rowOff>
                  </from>
                  <to>
                    <xdr:col>98</xdr:col>
                    <xdr:colOff>403860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0" r:id="rId15" name="Button 80">
              <controlPr defaultSize="0" print="0" autoFill="0" autoPict="0" macro="[0]!日記簿增列12">
                <anchor moveWithCells="1" sizeWithCells="1">
                  <from>
                    <xdr:col>106</xdr:col>
                    <xdr:colOff>601980</xdr:colOff>
                    <xdr:row>4</xdr:row>
                    <xdr:rowOff>99060</xdr:rowOff>
                  </from>
                  <to>
                    <xdr:col>107</xdr:col>
                    <xdr:colOff>403860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會計科目表!$F$6:$F$1048576</xm:f>
          </x14:formula1>
          <xm:sqref>X10 F10:F149 O10:O114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C1:Q64"/>
  <sheetViews>
    <sheetView workbookViewId="0">
      <pane ySplit="7" topLeftCell="A8" activePane="bottomLeft" state="frozen"/>
      <selection activeCell="P21" sqref="P21"/>
      <selection pane="bottomLeft" activeCell="F14" sqref="F14"/>
    </sheetView>
  </sheetViews>
  <sheetFormatPr defaultRowHeight="15.6" x14ac:dyDescent="0.3"/>
  <cols>
    <col min="1" max="1" width="3.109375" style="3" customWidth="1"/>
    <col min="2" max="2" width="0" style="3" hidden="1" customWidth="1"/>
    <col min="3" max="3" width="10.44140625" style="3" bestFit="1" customWidth="1"/>
    <col min="4" max="4" width="20.21875" style="3" bestFit="1" customWidth="1"/>
    <col min="5" max="5" width="7.33203125" style="3" bestFit="1" customWidth="1"/>
    <col min="6" max="6" width="10.88671875" style="3" bestFit="1" customWidth="1"/>
    <col min="7" max="8" width="8.88671875" style="3" customWidth="1"/>
    <col min="9" max="9" width="8.88671875" style="3" hidden="1" customWidth="1"/>
    <col min="10" max="10" width="0" style="3" hidden="1" customWidth="1"/>
    <col min="11" max="12" width="3.88671875" style="2" bestFit="1" customWidth="1"/>
    <col min="13" max="13" width="10.88671875" style="37" bestFit="1" customWidth="1"/>
    <col min="14" max="15" width="11.21875" style="37" bestFit="1" customWidth="1"/>
    <col min="16" max="16384" width="8.88671875" style="3"/>
  </cols>
  <sheetData>
    <row r="1" spans="3:16" ht="16.2" thickBot="1" x14ac:dyDescent="0.35">
      <c r="K1" s="49"/>
      <c r="L1" s="49"/>
      <c r="M1" s="4"/>
      <c r="N1" s="4"/>
      <c r="O1" s="4"/>
    </row>
    <row r="2" spans="3:16" ht="16.2" hidden="1" thickBot="1" x14ac:dyDescent="0.35">
      <c r="K2" s="49"/>
      <c r="L2" s="49"/>
      <c r="M2" s="4"/>
      <c r="N2" s="4"/>
      <c r="O2" s="4"/>
    </row>
    <row r="3" spans="3:16" ht="16.2" thickTop="1" x14ac:dyDescent="0.3">
      <c r="C3" s="110" t="s">
        <v>15</v>
      </c>
      <c r="D3" s="111"/>
      <c r="E3" s="111"/>
      <c r="F3" s="112"/>
      <c r="K3" s="49"/>
      <c r="L3" s="49"/>
      <c r="M3" s="4"/>
      <c r="N3" s="4"/>
      <c r="O3" s="4"/>
    </row>
    <row r="4" spans="3:16" ht="16.2" thickBot="1" x14ac:dyDescent="0.35">
      <c r="C4" s="15" t="s">
        <v>18</v>
      </c>
      <c r="D4" s="10" t="s">
        <v>16</v>
      </c>
      <c r="E4" s="107" t="s">
        <v>17</v>
      </c>
      <c r="F4" s="108"/>
      <c r="K4" s="49"/>
      <c r="L4" s="49"/>
      <c r="M4" s="4"/>
      <c r="N4" s="4"/>
      <c r="O4" s="4"/>
    </row>
    <row r="5" spans="3:16" ht="16.8" thickTop="1" thickBot="1" x14ac:dyDescent="0.35">
      <c r="C5" s="11"/>
      <c r="D5" s="1" t="s">
        <v>72</v>
      </c>
      <c r="E5" s="50" t="s">
        <v>269</v>
      </c>
      <c r="F5" s="51">
        <v>176</v>
      </c>
      <c r="K5" s="113" t="s">
        <v>19</v>
      </c>
      <c r="L5" s="127"/>
      <c r="M5" s="121" t="s">
        <v>22</v>
      </c>
      <c r="N5" s="121" t="s">
        <v>23</v>
      </c>
      <c r="O5" s="131" t="s">
        <v>24</v>
      </c>
    </row>
    <row r="6" spans="3:16" ht="16.2" thickTop="1" x14ac:dyDescent="0.3">
      <c r="K6" s="46" t="s">
        <v>20</v>
      </c>
      <c r="L6" s="47" t="s">
        <v>21</v>
      </c>
      <c r="M6" s="122"/>
      <c r="N6" s="122"/>
      <c r="O6" s="132"/>
    </row>
    <row r="7" spans="3:16" ht="16.2" hidden="1" x14ac:dyDescent="0.3">
      <c r="K7"/>
      <c r="L7"/>
      <c r="M7"/>
      <c r="N7"/>
      <c r="O7"/>
    </row>
    <row r="8" spans="3:16" ht="16.2" x14ac:dyDescent="0.3">
      <c r="K8" s="99" t="s">
        <v>172</v>
      </c>
      <c r="L8" s="100" t="s">
        <v>172</v>
      </c>
      <c r="M8" s="101">
        <v>192</v>
      </c>
      <c r="N8" s="101"/>
      <c r="O8" s="102">
        <v>192</v>
      </c>
    </row>
    <row r="9" spans="3:16" ht="16.2" x14ac:dyDescent="0.3">
      <c r="K9" s="99">
        <v>9</v>
      </c>
      <c r="L9" s="100">
        <v>20</v>
      </c>
      <c r="M9" s="101"/>
      <c r="N9" s="101">
        <v>16</v>
      </c>
      <c r="O9" s="102">
        <v>176</v>
      </c>
    </row>
    <row r="10" spans="3:16" ht="16.2" x14ac:dyDescent="0.3">
      <c r="K10" s="99"/>
      <c r="L10" s="100">
        <v>21</v>
      </c>
      <c r="M10" s="101"/>
      <c r="N10" s="101">
        <v>16</v>
      </c>
      <c r="O10" s="102">
        <v>160</v>
      </c>
    </row>
    <row r="11" spans="3:16" ht="16.2" x14ac:dyDescent="0.3">
      <c r="K11" s="99"/>
      <c r="L11" s="100">
        <v>23</v>
      </c>
      <c r="M11" s="101"/>
      <c r="N11" s="101">
        <v>16</v>
      </c>
      <c r="O11" s="102">
        <v>144</v>
      </c>
    </row>
    <row r="12" spans="3:16" ht="16.2" x14ac:dyDescent="0.3">
      <c r="K12" s="99">
        <v>10</v>
      </c>
      <c r="L12" s="100">
        <v>1</v>
      </c>
      <c r="M12" s="101">
        <v>100</v>
      </c>
      <c r="N12" s="101"/>
      <c r="O12" s="102">
        <v>244</v>
      </c>
      <c r="P12" s="54"/>
    </row>
    <row r="13" spans="3:16" ht="16.2" x14ac:dyDescent="0.3">
      <c r="K13" s="99"/>
      <c r="L13" s="103" t="s">
        <v>270</v>
      </c>
      <c r="M13" s="101"/>
      <c r="N13" s="101">
        <v>161</v>
      </c>
      <c r="O13" s="102">
        <v>83</v>
      </c>
    </row>
    <row r="14" spans="3:16" ht="16.2" x14ac:dyDescent="0.3">
      <c r="K14" s="99"/>
      <c r="L14" s="100">
        <v>11</v>
      </c>
      <c r="M14" s="101"/>
      <c r="N14" s="101">
        <v>16</v>
      </c>
      <c r="O14" s="102">
        <v>67</v>
      </c>
    </row>
    <row r="15" spans="3:16" ht="16.2" x14ac:dyDescent="0.3">
      <c r="K15" s="99"/>
      <c r="L15" s="100">
        <v>31</v>
      </c>
      <c r="M15" s="101"/>
      <c r="N15" s="101">
        <v>16</v>
      </c>
      <c r="O15" s="102">
        <v>51</v>
      </c>
    </row>
    <row r="16" spans="3:16" ht="16.2" x14ac:dyDescent="0.3">
      <c r="K16" s="99">
        <v>11</v>
      </c>
      <c r="L16" s="100">
        <v>15</v>
      </c>
      <c r="M16" s="101"/>
      <c r="N16" s="101">
        <v>16</v>
      </c>
      <c r="O16" s="102">
        <v>35</v>
      </c>
    </row>
    <row r="17" spans="11:17" ht="16.2" x14ac:dyDescent="0.3">
      <c r="K17" s="99"/>
      <c r="L17" s="103" t="s">
        <v>270</v>
      </c>
      <c r="M17" s="101">
        <v>100</v>
      </c>
      <c r="N17" s="101"/>
      <c r="O17" s="102">
        <v>135</v>
      </c>
    </row>
    <row r="18" spans="11:17" ht="16.2" x14ac:dyDescent="0.3">
      <c r="K18" s="99"/>
      <c r="L18" s="100">
        <v>16</v>
      </c>
      <c r="M18" s="101"/>
      <c r="N18" s="101">
        <v>67</v>
      </c>
      <c r="O18" s="102">
        <v>68</v>
      </c>
    </row>
    <row r="19" spans="11:17" x14ac:dyDescent="0.3">
      <c r="K19" s="105"/>
      <c r="L19" s="106">
        <v>17</v>
      </c>
      <c r="M19" s="78"/>
      <c r="N19" s="78">
        <v>16</v>
      </c>
      <c r="O19" s="79">
        <v>52</v>
      </c>
    </row>
    <row r="20" spans="11:17" ht="16.2" thickBot="1" x14ac:dyDescent="0.35">
      <c r="K20" s="66"/>
      <c r="L20" s="104" t="s">
        <v>270</v>
      </c>
      <c r="M20" s="12">
        <v>200</v>
      </c>
      <c r="N20" s="12"/>
      <c r="O20" s="13">
        <v>252</v>
      </c>
      <c r="Q20" s="14"/>
    </row>
    <row r="21" spans="11:17" ht="16.2" thickTop="1" x14ac:dyDescent="0.3">
      <c r="K21" s="52"/>
      <c r="L21" s="52"/>
      <c r="M21" s="53"/>
      <c r="N21" s="53"/>
      <c r="O21" s="53"/>
    </row>
    <row r="22" spans="11:17" x14ac:dyDescent="0.3">
      <c r="K22" s="52"/>
      <c r="L22" s="52"/>
      <c r="M22" s="53"/>
      <c r="N22" s="53"/>
      <c r="O22" s="53"/>
    </row>
    <row r="23" spans="11:17" x14ac:dyDescent="0.3">
      <c r="K23" s="52"/>
      <c r="L23" s="52"/>
      <c r="M23" s="53"/>
      <c r="N23" s="53"/>
      <c r="O23" s="53"/>
    </row>
    <row r="24" spans="11:17" x14ac:dyDescent="0.3">
      <c r="K24" s="52"/>
      <c r="L24" s="52"/>
      <c r="M24" s="53"/>
      <c r="N24" s="53"/>
      <c r="O24" s="53"/>
    </row>
    <row r="25" spans="11:17" x14ac:dyDescent="0.3">
      <c r="K25" s="52"/>
      <c r="L25" s="52"/>
      <c r="M25" s="53"/>
      <c r="N25" s="53"/>
      <c r="O25" s="53"/>
    </row>
    <row r="26" spans="11:17" x14ac:dyDescent="0.3">
      <c r="K26" s="52"/>
      <c r="L26" s="52"/>
      <c r="M26" s="53"/>
      <c r="N26" s="53"/>
      <c r="O26" s="53"/>
    </row>
    <row r="27" spans="11:17" x14ac:dyDescent="0.3">
      <c r="K27" s="52"/>
      <c r="L27" s="52"/>
      <c r="M27" s="53"/>
      <c r="N27" s="53"/>
      <c r="O27" s="53"/>
    </row>
    <row r="28" spans="11:17" x14ac:dyDescent="0.3">
      <c r="K28" s="52"/>
      <c r="L28" s="52"/>
      <c r="M28" s="53"/>
      <c r="N28" s="53"/>
      <c r="O28" s="53"/>
    </row>
    <row r="29" spans="11:17" x14ac:dyDescent="0.3">
      <c r="K29" s="52"/>
      <c r="L29" s="52"/>
      <c r="M29" s="53"/>
      <c r="N29" s="53"/>
      <c r="O29" s="53"/>
    </row>
    <row r="30" spans="11:17" x14ac:dyDescent="0.3">
      <c r="K30" s="52"/>
      <c r="L30" s="52"/>
      <c r="M30" s="53"/>
      <c r="N30" s="53"/>
      <c r="O30" s="53"/>
    </row>
    <row r="31" spans="11:17" x14ac:dyDescent="0.3">
      <c r="K31" s="52"/>
      <c r="L31" s="52"/>
      <c r="M31" s="53"/>
      <c r="N31" s="53"/>
      <c r="O31" s="53"/>
    </row>
    <row r="32" spans="11:17" x14ac:dyDescent="0.3">
      <c r="K32" s="52"/>
      <c r="L32" s="52"/>
      <c r="M32" s="53"/>
      <c r="N32" s="53"/>
      <c r="O32" s="53"/>
    </row>
    <row r="33" spans="11:15" x14ac:dyDescent="0.3">
      <c r="K33" s="52"/>
      <c r="L33" s="52"/>
      <c r="M33" s="53"/>
      <c r="N33" s="53"/>
      <c r="O33" s="53"/>
    </row>
    <row r="34" spans="11:15" x14ac:dyDescent="0.3">
      <c r="K34" s="52"/>
      <c r="L34" s="52"/>
      <c r="M34" s="53"/>
      <c r="N34" s="53"/>
      <c r="O34" s="53"/>
    </row>
    <row r="35" spans="11:15" x14ac:dyDescent="0.3">
      <c r="K35" s="52"/>
      <c r="L35" s="52"/>
      <c r="M35" s="53"/>
      <c r="N35" s="53"/>
      <c r="O35" s="53"/>
    </row>
    <row r="36" spans="11:15" x14ac:dyDescent="0.3">
      <c r="K36" s="52"/>
      <c r="L36" s="52"/>
      <c r="M36" s="53"/>
      <c r="N36" s="53"/>
      <c r="O36" s="53"/>
    </row>
    <row r="37" spans="11:15" x14ac:dyDescent="0.3">
      <c r="K37" s="52"/>
      <c r="L37" s="52"/>
      <c r="M37" s="53"/>
      <c r="N37" s="53"/>
      <c r="O37" s="53"/>
    </row>
    <row r="38" spans="11:15" x14ac:dyDescent="0.3">
      <c r="K38" s="52"/>
      <c r="L38" s="52"/>
      <c r="M38" s="53"/>
      <c r="N38" s="53"/>
      <c r="O38" s="53"/>
    </row>
    <row r="39" spans="11:15" x14ac:dyDescent="0.3">
      <c r="K39" s="52"/>
      <c r="L39" s="52"/>
      <c r="M39" s="53"/>
      <c r="N39" s="53"/>
      <c r="O39" s="53"/>
    </row>
    <row r="40" spans="11:15" x14ac:dyDescent="0.3">
      <c r="K40" s="52"/>
      <c r="L40" s="52"/>
      <c r="M40" s="53"/>
      <c r="N40" s="53"/>
      <c r="O40" s="53"/>
    </row>
    <row r="41" spans="11:15" x14ac:dyDescent="0.3">
      <c r="K41" s="52"/>
      <c r="L41" s="52"/>
      <c r="M41" s="53"/>
      <c r="N41" s="53"/>
      <c r="O41" s="53"/>
    </row>
    <row r="42" spans="11:15" x14ac:dyDescent="0.3">
      <c r="K42" s="52"/>
      <c r="L42" s="52"/>
      <c r="M42" s="53"/>
      <c r="N42" s="53"/>
      <c r="O42" s="53"/>
    </row>
    <row r="43" spans="11:15" x14ac:dyDescent="0.3">
      <c r="K43" s="52"/>
      <c r="L43" s="52"/>
      <c r="M43" s="53"/>
      <c r="N43" s="53"/>
      <c r="O43" s="53"/>
    </row>
    <row r="44" spans="11:15" x14ac:dyDescent="0.3">
      <c r="K44" s="52"/>
      <c r="L44" s="52"/>
      <c r="M44" s="53"/>
      <c r="N44" s="53"/>
      <c r="O44" s="53"/>
    </row>
    <row r="45" spans="11:15" x14ac:dyDescent="0.3">
      <c r="K45" s="52"/>
      <c r="L45" s="52"/>
      <c r="M45" s="53"/>
      <c r="N45" s="53"/>
      <c r="O45" s="53"/>
    </row>
    <row r="46" spans="11:15" x14ac:dyDescent="0.3">
      <c r="K46" s="52"/>
      <c r="L46" s="52"/>
      <c r="M46" s="53"/>
      <c r="N46" s="53"/>
      <c r="O46" s="53"/>
    </row>
    <row r="47" spans="11:15" x14ac:dyDescent="0.3">
      <c r="K47" s="52"/>
      <c r="L47" s="52"/>
      <c r="M47" s="53"/>
      <c r="N47" s="53"/>
      <c r="O47" s="53"/>
    </row>
    <row r="48" spans="11:15" x14ac:dyDescent="0.3">
      <c r="K48" s="52"/>
      <c r="L48" s="52"/>
      <c r="M48" s="53"/>
      <c r="N48" s="53"/>
      <c r="O48" s="53"/>
    </row>
    <row r="49" spans="11:15" x14ac:dyDescent="0.3">
      <c r="K49" s="52"/>
      <c r="L49" s="52"/>
      <c r="M49" s="53"/>
      <c r="N49" s="53"/>
      <c r="O49" s="53"/>
    </row>
    <row r="50" spans="11:15" x14ac:dyDescent="0.3">
      <c r="K50" s="52"/>
      <c r="L50" s="52"/>
      <c r="M50" s="53"/>
      <c r="N50" s="53"/>
      <c r="O50" s="53"/>
    </row>
    <row r="51" spans="11:15" x14ac:dyDescent="0.3">
      <c r="K51" s="52"/>
      <c r="L51" s="52"/>
      <c r="M51" s="53"/>
      <c r="N51" s="53"/>
      <c r="O51" s="53"/>
    </row>
    <row r="52" spans="11:15" x14ac:dyDescent="0.3">
      <c r="K52" s="52"/>
      <c r="L52" s="52"/>
      <c r="M52" s="53"/>
      <c r="N52" s="53"/>
      <c r="O52" s="53"/>
    </row>
    <row r="53" spans="11:15" x14ac:dyDescent="0.3">
      <c r="K53" s="52"/>
      <c r="L53" s="52"/>
      <c r="M53" s="53"/>
      <c r="N53" s="53"/>
      <c r="O53" s="53"/>
    </row>
    <row r="54" spans="11:15" x14ac:dyDescent="0.3">
      <c r="K54" s="52"/>
      <c r="L54" s="52"/>
      <c r="M54" s="53"/>
      <c r="N54" s="53"/>
      <c r="O54" s="53"/>
    </row>
    <row r="55" spans="11:15" x14ac:dyDescent="0.3">
      <c r="K55" s="52"/>
      <c r="L55" s="52"/>
      <c r="M55" s="53"/>
      <c r="N55" s="53"/>
      <c r="O55" s="53"/>
    </row>
    <row r="56" spans="11:15" x14ac:dyDescent="0.3">
      <c r="K56" s="52"/>
      <c r="L56" s="52"/>
      <c r="M56" s="53"/>
      <c r="N56" s="53"/>
      <c r="O56" s="53"/>
    </row>
    <row r="57" spans="11:15" x14ac:dyDescent="0.3">
      <c r="K57" s="52"/>
      <c r="L57" s="52"/>
      <c r="M57" s="53"/>
      <c r="N57" s="53"/>
      <c r="O57" s="53"/>
    </row>
    <row r="58" spans="11:15" x14ac:dyDescent="0.3">
      <c r="K58" s="52"/>
      <c r="L58" s="52"/>
      <c r="M58" s="53"/>
      <c r="N58" s="53"/>
      <c r="O58" s="53"/>
    </row>
    <row r="59" spans="11:15" x14ac:dyDescent="0.3">
      <c r="K59" s="52"/>
      <c r="L59" s="52"/>
      <c r="M59" s="53"/>
      <c r="N59" s="53"/>
      <c r="O59" s="53"/>
    </row>
    <row r="60" spans="11:15" x14ac:dyDescent="0.3">
      <c r="K60" s="52"/>
      <c r="L60" s="52"/>
      <c r="M60" s="53"/>
      <c r="N60" s="53"/>
      <c r="O60" s="53"/>
    </row>
    <row r="61" spans="11:15" x14ac:dyDescent="0.3">
      <c r="K61" s="52"/>
      <c r="L61" s="52"/>
      <c r="M61" s="53"/>
      <c r="N61" s="53"/>
      <c r="O61" s="53"/>
    </row>
    <row r="62" spans="11:15" x14ac:dyDescent="0.3">
      <c r="K62" s="52"/>
      <c r="L62" s="52"/>
      <c r="M62" s="53"/>
      <c r="N62" s="53"/>
      <c r="O62" s="53"/>
    </row>
    <row r="63" spans="11:15" x14ac:dyDescent="0.3">
      <c r="K63" s="52"/>
      <c r="L63" s="52"/>
      <c r="M63" s="53"/>
      <c r="N63" s="53"/>
      <c r="O63" s="53"/>
    </row>
    <row r="64" spans="11:15" x14ac:dyDescent="0.3">
      <c r="K64" s="52"/>
      <c r="L64" s="52"/>
      <c r="M64" s="53"/>
      <c r="N64" s="53"/>
      <c r="O64" s="53"/>
    </row>
  </sheetData>
  <mergeCells count="6">
    <mergeCell ref="C3:F3"/>
    <mergeCell ref="O5:O6"/>
    <mergeCell ref="N5:N6"/>
    <mergeCell ref="M5:M6"/>
    <mergeCell ref="K5:L5"/>
    <mergeCell ref="E4:F4"/>
  </mergeCells>
  <phoneticPr fontId="1" type="noConversion"/>
  <dataValidations count="1">
    <dataValidation type="whole" allowBlank="1" showInputMessage="1" showErrorMessage="1" sqref="C5">
      <formula1>0</formula1>
      <formula2>12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查看分類帳">
                <anchor moveWithCells="1" sizeWithCells="1">
                  <from>
                    <xdr:col>6</xdr:col>
                    <xdr:colOff>121920</xdr:colOff>
                    <xdr:row>3</xdr:row>
                    <xdr:rowOff>7620</xdr:rowOff>
                  </from>
                  <to>
                    <xdr:col>7</xdr:col>
                    <xdr:colOff>426720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會計科目表!$E$6:$E$1048576</xm:f>
          </x14:formula1>
          <xm:sqref>D5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E1:R49"/>
  <sheetViews>
    <sheetView tabSelected="1" zoomScale="80" zoomScaleNormal="80" workbookViewId="0">
      <pane ySplit="7" topLeftCell="A8" activePane="bottomLeft" state="frozen"/>
      <selection activeCell="P21" sqref="P21"/>
      <selection pane="bottomLeft" activeCell="Q21" sqref="Q21"/>
    </sheetView>
  </sheetViews>
  <sheetFormatPr defaultRowHeight="15.6" x14ac:dyDescent="0.3"/>
  <cols>
    <col min="1" max="1" width="3.33203125" style="3" customWidth="1"/>
    <col min="2" max="3" width="0" style="3" hidden="1" customWidth="1"/>
    <col min="4" max="4" width="3.33203125" style="3" customWidth="1"/>
    <col min="5" max="5" width="10.5546875" style="2" bestFit="1" customWidth="1"/>
    <col min="6" max="6" width="20.21875" style="55" bestFit="1" customWidth="1"/>
    <col min="7" max="9" width="11.109375" style="37" customWidth="1"/>
    <col min="10" max="10" width="12.21875" style="37" customWidth="1"/>
    <col min="11" max="14" width="11.109375" style="37" customWidth="1"/>
    <col min="15" max="15" width="8.88671875" style="3"/>
    <col min="16" max="16" width="10.88671875" style="3" bestFit="1" customWidth="1"/>
    <col min="17" max="18" width="9.44140625" style="3" bestFit="1" customWidth="1"/>
    <col min="19" max="16384" width="8.88671875" style="3"/>
  </cols>
  <sheetData>
    <row r="1" spans="5:16" x14ac:dyDescent="0.3">
      <c r="F1" s="2"/>
      <c r="G1" s="4"/>
      <c r="H1" s="4"/>
      <c r="I1" s="4"/>
      <c r="J1" s="4"/>
      <c r="K1" s="4"/>
      <c r="L1" s="4"/>
      <c r="M1" s="4"/>
      <c r="N1" s="4"/>
    </row>
    <row r="2" spans="5:16" hidden="1" x14ac:dyDescent="0.3">
      <c r="F2" s="2"/>
      <c r="G2" s="4"/>
      <c r="H2" s="4"/>
      <c r="I2" s="4"/>
      <c r="J2" s="4"/>
      <c r="K2" s="4"/>
      <c r="L2" s="4"/>
      <c r="M2" s="4"/>
      <c r="N2" s="4"/>
    </row>
    <row r="3" spans="5:16" hidden="1" x14ac:dyDescent="0.3">
      <c r="F3" s="2"/>
      <c r="G3" s="4"/>
      <c r="H3" s="4"/>
      <c r="I3" s="4"/>
      <c r="J3" s="4"/>
      <c r="K3" s="4"/>
      <c r="L3" s="4"/>
      <c r="M3" s="4"/>
      <c r="N3" s="4"/>
    </row>
    <row r="4" spans="5:16" ht="16.2" thickBot="1" x14ac:dyDescent="0.35">
      <c r="F4" s="2"/>
      <c r="G4" s="4"/>
      <c r="H4" s="4"/>
      <c r="I4" s="4"/>
      <c r="J4" s="4"/>
      <c r="K4" s="4"/>
      <c r="L4" s="4"/>
      <c r="M4" s="4"/>
      <c r="N4" s="4"/>
    </row>
    <row r="5" spans="5:16" ht="16.2" thickTop="1" x14ac:dyDescent="0.3">
      <c r="E5" s="119" t="s">
        <v>25</v>
      </c>
      <c r="F5" s="128" t="s">
        <v>26</v>
      </c>
      <c r="G5" s="117" t="s">
        <v>31</v>
      </c>
      <c r="H5" s="117"/>
      <c r="I5" s="117" t="s">
        <v>32</v>
      </c>
      <c r="J5" s="117"/>
      <c r="K5" s="117" t="s">
        <v>27</v>
      </c>
      <c r="L5" s="117"/>
      <c r="M5" s="117" t="s">
        <v>28</v>
      </c>
      <c r="N5" s="118"/>
    </row>
    <row r="6" spans="5:16" x14ac:dyDescent="0.3">
      <c r="E6" s="109"/>
      <c r="F6" s="129"/>
      <c r="G6" s="57" t="s">
        <v>29</v>
      </c>
      <c r="H6" s="57" t="s">
        <v>30</v>
      </c>
      <c r="I6" s="57" t="s">
        <v>29</v>
      </c>
      <c r="J6" s="57" t="s">
        <v>30</v>
      </c>
      <c r="K6" s="57" t="s">
        <v>29</v>
      </c>
      <c r="L6" s="57" t="s">
        <v>30</v>
      </c>
      <c r="M6" s="57" t="s">
        <v>29</v>
      </c>
      <c r="N6" s="58" t="s">
        <v>30</v>
      </c>
    </row>
    <row r="7" spans="5:16" hidden="1" x14ac:dyDescent="0.3"/>
    <row r="8" spans="5:16" x14ac:dyDescent="0.3">
      <c r="E8" s="72">
        <v>101</v>
      </c>
      <c r="F8" s="73" t="s">
        <v>34</v>
      </c>
      <c r="G8" s="74">
        <v>4287</v>
      </c>
      <c r="H8" s="74">
        <v>3888</v>
      </c>
      <c r="I8" s="74">
        <v>399</v>
      </c>
      <c r="J8" s="74"/>
      <c r="K8" s="74"/>
      <c r="L8" s="74"/>
      <c r="M8" s="74">
        <v>399</v>
      </c>
      <c r="N8" s="75"/>
    </row>
    <row r="9" spans="5:16" ht="16.2" customHeight="1" x14ac:dyDescent="0.3">
      <c r="E9" s="76">
        <v>102</v>
      </c>
      <c r="F9" s="77" t="s">
        <v>35</v>
      </c>
      <c r="G9" s="78">
        <v>1245</v>
      </c>
      <c r="H9" s="78"/>
      <c r="I9" s="78">
        <v>1245</v>
      </c>
      <c r="J9" s="78"/>
      <c r="K9" s="78"/>
      <c r="L9" s="78"/>
      <c r="M9" s="78">
        <v>1245</v>
      </c>
      <c r="N9" s="79"/>
    </row>
    <row r="10" spans="5:16" x14ac:dyDescent="0.3">
      <c r="E10" s="76">
        <v>103</v>
      </c>
      <c r="F10" s="77" t="s">
        <v>66</v>
      </c>
      <c r="G10" s="78">
        <v>3159</v>
      </c>
      <c r="H10" s="78">
        <v>1040</v>
      </c>
      <c r="I10" s="78">
        <v>2119</v>
      </c>
      <c r="J10" s="78"/>
      <c r="K10" s="78"/>
      <c r="L10" s="78"/>
      <c r="M10" s="78">
        <v>2119</v>
      </c>
      <c r="N10" s="79"/>
    </row>
    <row r="11" spans="5:16" ht="16.2" customHeight="1" x14ac:dyDescent="0.3">
      <c r="E11" s="76">
        <v>107</v>
      </c>
      <c r="F11" s="77" t="s">
        <v>68</v>
      </c>
      <c r="G11" s="78">
        <v>59049</v>
      </c>
      <c r="H11" s="78"/>
      <c r="I11" s="78">
        <v>59049</v>
      </c>
      <c r="J11" s="78"/>
      <c r="K11" s="78"/>
      <c r="L11" s="78"/>
      <c r="M11" s="78">
        <v>59049</v>
      </c>
      <c r="N11" s="79"/>
    </row>
    <row r="12" spans="5:16" x14ac:dyDescent="0.3">
      <c r="E12" s="76">
        <v>110</v>
      </c>
      <c r="F12" s="77" t="s">
        <v>72</v>
      </c>
      <c r="G12" s="78">
        <v>292</v>
      </c>
      <c r="H12" s="78">
        <v>225</v>
      </c>
      <c r="I12" s="78">
        <v>67</v>
      </c>
      <c r="J12" s="78"/>
      <c r="K12" s="78"/>
      <c r="L12" s="78"/>
      <c r="M12" s="78">
        <v>67</v>
      </c>
      <c r="N12" s="79"/>
      <c r="P12" s="14"/>
    </row>
    <row r="13" spans="5:16" ht="16.2" customHeight="1" x14ac:dyDescent="0.3">
      <c r="E13" s="76">
        <v>111</v>
      </c>
      <c r="F13" s="77" t="s">
        <v>74</v>
      </c>
      <c r="G13" s="78">
        <v>3306</v>
      </c>
      <c r="H13" s="78">
        <v>1972</v>
      </c>
      <c r="I13" s="78">
        <v>1334</v>
      </c>
      <c r="J13" s="78"/>
      <c r="K13" s="78"/>
      <c r="L13" s="78"/>
      <c r="M13" s="78">
        <v>1334</v>
      </c>
      <c r="N13" s="79"/>
    </row>
    <row r="14" spans="5:16" x14ac:dyDescent="0.3">
      <c r="E14" s="76">
        <v>112</v>
      </c>
      <c r="F14" s="77" t="s">
        <v>77</v>
      </c>
      <c r="G14" s="78">
        <v>720</v>
      </c>
      <c r="H14" s="78"/>
      <c r="I14" s="78">
        <v>720</v>
      </c>
      <c r="J14" s="78"/>
      <c r="K14" s="78"/>
      <c r="L14" s="78"/>
      <c r="M14" s="78">
        <v>720</v>
      </c>
      <c r="N14" s="79"/>
      <c r="P14" s="14"/>
    </row>
    <row r="15" spans="5:16" x14ac:dyDescent="0.3">
      <c r="E15" s="76">
        <v>116</v>
      </c>
      <c r="F15" s="77" t="s">
        <v>36</v>
      </c>
      <c r="G15" s="78">
        <v>4320</v>
      </c>
      <c r="H15" s="78">
        <v>3800</v>
      </c>
      <c r="I15" s="78">
        <v>520</v>
      </c>
      <c r="J15" s="78"/>
      <c r="K15" s="78"/>
      <c r="L15" s="78"/>
      <c r="M15" s="78">
        <v>520</v>
      </c>
      <c r="N15" s="79"/>
      <c r="P15" s="14"/>
    </row>
    <row r="16" spans="5:16" x14ac:dyDescent="0.3">
      <c r="E16" s="76">
        <v>121</v>
      </c>
      <c r="F16" s="77" t="s">
        <v>70</v>
      </c>
      <c r="G16" s="78"/>
      <c r="H16" s="78"/>
      <c r="I16" s="78"/>
      <c r="J16" s="78"/>
      <c r="K16" s="78"/>
      <c r="L16" s="78"/>
      <c r="M16" s="78"/>
      <c r="N16" s="79"/>
      <c r="P16" s="14"/>
    </row>
    <row r="17" spans="5:18" x14ac:dyDescent="0.3">
      <c r="E17" s="76">
        <v>124</v>
      </c>
      <c r="F17" s="77" t="s">
        <v>79</v>
      </c>
      <c r="G17" s="78">
        <v>4715</v>
      </c>
      <c r="H17" s="78">
        <v>2828</v>
      </c>
      <c r="I17" s="78">
        <v>1887</v>
      </c>
      <c r="J17" s="78"/>
      <c r="K17" s="78"/>
      <c r="L17" s="78"/>
      <c r="M17" s="78">
        <v>1887</v>
      </c>
      <c r="N17" s="79"/>
      <c r="P17" s="14"/>
    </row>
    <row r="18" spans="5:18" x14ac:dyDescent="0.3">
      <c r="E18" s="76">
        <v>125</v>
      </c>
      <c r="F18" s="77" t="s">
        <v>80</v>
      </c>
      <c r="G18" s="78">
        <v>1379</v>
      </c>
      <c r="H18" s="78"/>
      <c r="I18" s="78">
        <v>1379</v>
      </c>
      <c r="J18" s="78"/>
      <c r="K18" s="78"/>
      <c r="L18" s="78"/>
      <c r="M18" s="78">
        <v>1379</v>
      </c>
      <c r="N18" s="79"/>
      <c r="Q18" s="14"/>
    </row>
    <row r="19" spans="5:18" x14ac:dyDescent="0.3">
      <c r="E19" s="76">
        <v>131</v>
      </c>
      <c r="F19" s="77" t="s">
        <v>85</v>
      </c>
      <c r="G19" s="78">
        <v>14016</v>
      </c>
      <c r="H19" s="78">
        <v>731</v>
      </c>
      <c r="I19" s="78">
        <v>13285</v>
      </c>
      <c r="J19" s="78"/>
      <c r="K19" s="78"/>
      <c r="L19" s="78"/>
      <c r="M19" s="78">
        <v>13285</v>
      </c>
      <c r="N19" s="79"/>
    </row>
    <row r="20" spans="5:18" x14ac:dyDescent="0.3">
      <c r="E20" s="76">
        <v>201</v>
      </c>
      <c r="F20" s="77" t="s">
        <v>37</v>
      </c>
      <c r="G20" s="78">
        <v>660</v>
      </c>
      <c r="H20" s="78">
        <v>660</v>
      </c>
      <c r="I20" s="78"/>
      <c r="J20" s="78"/>
      <c r="K20" s="78"/>
      <c r="L20" s="78"/>
      <c r="M20" s="78"/>
      <c r="N20" s="79"/>
    </row>
    <row r="21" spans="5:18" x14ac:dyDescent="0.3">
      <c r="E21" s="76">
        <v>301</v>
      </c>
      <c r="F21" s="77" t="s">
        <v>60</v>
      </c>
      <c r="G21" s="78">
        <v>2756</v>
      </c>
      <c r="H21" s="78">
        <v>4512</v>
      </c>
      <c r="I21" s="78"/>
      <c r="J21" s="78">
        <v>1756</v>
      </c>
      <c r="K21" s="78"/>
      <c r="L21" s="78"/>
      <c r="M21" s="78"/>
      <c r="N21" s="79">
        <v>1756</v>
      </c>
    </row>
    <row r="22" spans="5:18" x14ac:dyDescent="0.3">
      <c r="E22" s="76">
        <v>304</v>
      </c>
      <c r="F22" s="77" t="s">
        <v>56</v>
      </c>
      <c r="G22" s="78">
        <v>2197</v>
      </c>
      <c r="H22" s="78">
        <v>3598</v>
      </c>
      <c r="I22" s="78"/>
      <c r="J22" s="78">
        <v>1401</v>
      </c>
      <c r="K22" s="78"/>
      <c r="L22" s="78"/>
      <c r="M22" s="78"/>
      <c r="N22" s="79">
        <v>1401</v>
      </c>
    </row>
    <row r="23" spans="5:18" x14ac:dyDescent="0.3">
      <c r="E23" s="76">
        <v>306</v>
      </c>
      <c r="F23" s="77" t="s">
        <v>90</v>
      </c>
      <c r="G23" s="78">
        <v>2810</v>
      </c>
      <c r="H23" s="78">
        <v>2810</v>
      </c>
      <c r="I23" s="78"/>
      <c r="J23" s="78"/>
      <c r="K23" s="78"/>
      <c r="L23" s="78"/>
      <c r="M23" s="78"/>
      <c r="N23" s="79"/>
    </row>
    <row r="24" spans="5:18" ht="16.2" customHeight="1" x14ac:dyDescent="0.3">
      <c r="E24" s="76">
        <v>313</v>
      </c>
      <c r="F24" s="77" t="s">
        <v>84</v>
      </c>
      <c r="G24" s="78">
        <v>1000</v>
      </c>
      <c r="H24" s="78">
        <v>6883</v>
      </c>
      <c r="I24" s="78"/>
      <c r="J24" s="78">
        <v>5883</v>
      </c>
      <c r="K24" s="78"/>
      <c r="L24" s="78"/>
      <c r="M24" s="78"/>
      <c r="N24" s="79">
        <v>5883</v>
      </c>
    </row>
    <row r="25" spans="5:18" x14ac:dyDescent="0.3">
      <c r="E25" s="76">
        <v>316</v>
      </c>
      <c r="F25" s="77" t="s">
        <v>54</v>
      </c>
      <c r="G25" s="78">
        <v>1040</v>
      </c>
      <c r="H25" s="78">
        <v>62208</v>
      </c>
      <c r="I25" s="78"/>
      <c r="J25" s="78">
        <v>61168</v>
      </c>
      <c r="K25" s="78"/>
      <c r="L25" s="78"/>
      <c r="M25" s="78"/>
      <c r="N25" s="79">
        <v>61168</v>
      </c>
    </row>
    <row r="26" spans="5:18" ht="16.2" customHeight="1" x14ac:dyDescent="0.3">
      <c r="E26" s="76">
        <v>321</v>
      </c>
      <c r="F26" s="77" t="s">
        <v>96</v>
      </c>
      <c r="G26" s="78">
        <v>2800</v>
      </c>
      <c r="H26" s="78">
        <v>14016</v>
      </c>
      <c r="I26" s="78"/>
      <c r="J26" s="78">
        <v>11216</v>
      </c>
      <c r="K26" s="78"/>
      <c r="L26" s="78"/>
      <c r="M26" s="78"/>
      <c r="N26" s="79">
        <v>11216</v>
      </c>
    </row>
    <row r="27" spans="5:18" x14ac:dyDescent="0.3">
      <c r="E27" s="76">
        <v>330</v>
      </c>
      <c r="F27" s="77" t="s">
        <v>58</v>
      </c>
      <c r="G27" s="78">
        <v>5140</v>
      </c>
      <c r="H27" s="78">
        <v>2360</v>
      </c>
      <c r="I27" s="78">
        <v>2780</v>
      </c>
      <c r="J27" s="78"/>
      <c r="K27" s="78"/>
      <c r="L27" s="78"/>
      <c r="M27" s="78">
        <v>2780</v>
      </c>
      <c r="N27" s="79"/>
    </row>
    <row r="28" spans="5:18" ht="16.2" customHeight="1" x14ac:dyDescent="0.3">
      <c r="E28" s="76">
        <v>331</v>
      </c>
      <c r="F28" s="77" t="s">
        <v>59</v>
      </c>
      <c r="G28" s="78">
        <v>2125</v>
      </c>
      <c r="H28" s="78">
        <v>3823</v>
      </c>
      <c r="I28" s="78"/>
      <c r="J28" s="78">
        <v>1698</v>
      </c>
      <c r="K28" s="78"/>
      <c r="L28" s="78"/>
      <c r="M28" s="78"/>
      <c r="N28" s="79">
        <v>1698</v>
      </c>
      <c r="P28" s="14"/>
    </row>
    <row r="29" spans="5:18" ht="16.2" customHeight="1" x14ac:dyDescent="0.3">
      <c r="E29" s="76">
        <v>401</v>
      </c>
      <c r="F29" s="77" t="s">
        <v>38</v>
      </c>
      <c r="G29" s="78">
        <v>1200</v>
      </c>
      <c r="H29" s="78">
        <v>3400</v>
      </c>
      <c r="I29" s="78"/>
      <c r="J29" s="78">
        <v>2200</v>
      </c>
      <c r="K29" s="78"/>
      <c r="L29" s="78">
        <v>2200</v>
      </c>
      <c r="M29" s="78"/>
      <c r="N29" s="79"/>
      <c r="P29" s="14"/>
    </row>
    <row r="30" spans="5:18" ht="16.2" customHeight="1" x14ac:dyDescent="0.3">
      <c r="E30" s="76">
        <v>402</v>
      </c>
      <c r="F30" s="77" t="s">
        <v>144</v>
      </c>
      <c r="G30" s="78"/>
      <c r="H30" s="78"/>
      <c r="I30" s="78"/>
      <c r="J30" s="78"/>
      <c r="K30" s="78"/>
      <c r="L30" s="78"/>
      <c r="M30" s="78"/>
      <c r="N30" s="79"/>
      <c r="R30" s="14">
        <f>M27-N28</f>
        <v>1082</v>
      </c>
    </row>
    <row r="31" spans="5:18" ht="16.2" customHeight="1" x14ac:dyDescent="0.3">
      <c r="E31" s="76">
        <v>405</v>
      </c>
      <c r="F31" s="77" t="s">
        <v>146</v>
      </c>
      <c r="G31" s="78">
        <v>580</v>
      </c>
      <c r="H31" s="78">
        <v>1740</v>
      </c>
      <c r="I31" s="78"/>
      <c r="J31" s="78">
        <v>1160</v>
      </c>
      <c r="K31" s="78"/>
      <c r="L31" s="78">
        <v>1160</v>
      </c>
      <c r="M31" s="78"/>
      <c r="N31" s="79"/>
    </row>
    <row r="32" spans="5:18" ht="16.2" customHeight="1" x14ac:dyDescent="0.3">
      <c r="E32" s="76">
        <v>409</v>
      </c>
      <c r="F32" s="77" t="s">
        <v>62</v>
      </c>
      <c r="G32" s="78"/>
      <c r="H32" s="78"/>
      <c r="I32" s="78"/>
      <c r="J32" s="78"/>
      <c r="K32" s="78"/>
      <c r="L32" s="78"/>
      <c r="M32" s="78"/>
      <c r="N32" s="79"/>
    </row>
    <row r="33" spans="5:17" ht="16.2" customHeight="1" x14ac:dyDescent="0.3">
      <c r="E33" s="76">
        <v>413</v>
      </c>
      <c r="F33" s="77" t="s">
        <v>149</v>
      </c>
      <c r="G33" s="78"/>
      <c r="H33" s="78"/>
      <c r="I33" s="78"/>
      <c r="J33" s="78"/>
      <c r="K33" s="78"/>
      <c r="L33" s="78"/>
      <c r="M33" s="78"/>
      <c r="N33" s="79"/>
    </row>
    <row r="34" spans="5:17" x14ac:dyDescent="0.3">
      <c r="E34" s="76">
        <v>416</v>
      </c>
      <c r="F34" s="77" t="s">
        <v>39</v>
      </c>
      <c r="G34" s="78"/>
      <c r="H34" s="78"/>
      <c r="I34" s="78"/>
      <c r="J34" s="78"/>
      <c r="K34" s="78"/>
      <c r="L34" s="78"/>
      <c r="M34" s="78"/>
      <c r="N34" s="79"/>
    </row>
    <row r="35" spans="5:17" ht="16.2" customHeight="1" x14ac:dyDescent="0.3">
      <c r="E35" s="76">
        <v>420</v>
      </c>
      <c r="F35" s="77" t="s">
        <v>94</v>
      </c>
      <c r="G35" s="78">
        <v>580</v>
      </c>
      <c r="H35" s="78">
        <v>580</v>
      </c>
      <c r="I35" s="78"/>
      <c r="J35" s="78"/>
      <c r="K35" s="78"/>
      <c r="L35" s="78"/>
      <c r="M35" s="78"/>
      <c r="N35" s="79"/>
      <c r="Q35" s="14"/>
    </row>
    <row r="36" spans="5:17" ht="16.2" customHeight="1" x14ac:dyDescent="0.3">
      <c r="E36" s="76">
        <v>501</v>
      </c>
      <c r="F36" s="77" t="s">
        <v>40</v>
      </c>
      <c r="G36" s="78">
        <v>1350</v>
      </c>
      <c r="H36" s="78">
        <v>685</v>
      </c>
      <c r="I36" s="78">
        <v>665</v>
      </c>
      <c r="J36" s="78"/>
      <c r="K36" s="78">
        <v>665</v>
      </c>
      <c r="L36" s="78"/>
      <c r="M36" s="78"/>
      <c r="N36" s="79"/>
      <c r="Q36" s="14"/>
    </row>
    <row r="37" spans="5:17" ht="16.2" customHeight="1" x14ac:dyDescent="0.3">
      <c r="E37" s="76">
        <v>502</v>
      </c>
      <c r="F37" s="77" t="s">
        <v>52</v>
      </c>
      <c r="G37" s="78"/>
      <c r="H37" s="78"/>
      <c r="I37" s="78"/>
      <c r="J37" s="78"/>
      <c r="K37" s="78"/>
      <c r="L37" s="78"/>
      <c r="M37" s="78"/>
      <c r="N37" s="79"/>
    </row>
    <row r="38" spans="5:17" ht="16.2" customHeight="1" x14ac:dyDescent="0.3">
      <c r="E38" s="76">
        <v>505</v>
      </c>
      <c r="F38" s="77" t="s">
        <v>125</v>
      </c>
      <c r="G38" s="78">
        <v>1972</v>
      </c>
      <c r="H38" s="78">
        <v>1160</v>
      </c>
      <c r="I38" s="78">
        <v>812</v>
      </c>
      <c r="J38" s="78"/>
      <c r="K38" s="78">
        <v>812</v>
      </c>
      <c r="L38" s="78"/>
      <c r="M38" s="78"/>
      <c r="N38" s="79"/>
    </row>
    <row r="39" spans="5:17" ht="16.2" customHeight="1" x14ac:dyDescent="0.3">
      <c r="E39" s="76">
        <v>506</v>
      </c>
      <c r="F39" s="77" t="s">
        <v>47</v>
      </c>
      <c r="G39" s="78">
        <v>225</v>
      </c>
      <c r="H39" s="78">
        <v>48</v>
      </c>
      <c r="I39" s="78">
        <v>177</v>
      </c>
      <c r="J39" s="78"/>
      <c r="K39" s="78">
        <v>177</v>
      </c>
      <c r="L39" s="78"/>
      <c r="M39" s="78"/>
      <c r="N39" s="79"/>
    </row>
    <row r="40" spans="5:17" ht="16.2" customHeight="1" x14ac:dyDescent="0.3">
      <c r="E40" s="76">
        <v>510</v>
      </c>
      <c r="F40" s="77" t="s">
        <v>160</v>
      </c>
      <c r="G40" s="78">
        <v>97</v>
      </c>
      <c r="H40" s="78">
        <v>53</v>
      </c>
      <c r="I40" s="78">
        <v>44</v>
      </c>
      <c r="J40" s="78"/>
      <c r="K40" s="78">
        <v>44</v>
      </c>
      <c r="L40" s="78"/>
      <c r="M40" s="78"/>
      <c r="N40" s="79"/>
    </row>
    <row r="41" spans="5:17" x14ac:dyDescent="0.3">
      <c r="E41" s="76">
        <v>514</v>
      </c>
      <c r="F41" s="77" t="s">
        <v>41</v>
      </c>
      <c r="G41" s="78"/>
      <c r="H41" s="78"/>
      <c r="I41" s="78"/>
      <c r="J41" s="78"/>
      <c r="K41" s="78"/>
      <c r="L41" s="78"/>
      <c r="M41" s="78"/>
      <c r="N41" s="79"/>
    </row>
    <row r="42" spans="5:17" x14ac:dyDescent="0.3">
      <c r="E42" s="76">
        <v>518</v>
      </c>
      <c r="F42" s="77" t="s">
        <v>43</v>
      </c>
      <c r="G42" s="78"/>
      <c r="H42" s="78"/>
      <c r="I42" s="78"/>
      <c r="J42" s="78"/>
      <c r="K42" s="78"/>
      <c r="L42" s="78"/>
      <c r="M42" s="78"/>
      <c r="N42" s="79"/>
    </row>
    <row r="43" spans="5:17" x14ac:dyDescent="0.3">
      <c r="E43" s="76">
        <v>525</v>
      </c>
      <c r="F43" s="77" t="s">
        <v>42</v>
      </c>
      <c r="G43" s="78">
        <v>2</v>
      </c>
      <c r="H43" s="78">
        <v>2</v>
      </c>
      <c r="I43" s="78"/>
      <c r="J43" s="78"/>
      <c r="K43" s="78"/>
      <c r="L43" s="78"/>
      <c r="M43" s="78"/>
      <c r="N43" s="79"/>
    </row>
    <row r="44" spans="5:17" x14ac:dyDescent="0.3">
      <c r="E44" s="76">
        <v>530</v>
      </c>
      <c r="F44" s="77" t="s">
        <v>45</v>
      </c>
      <c r="G44" s="78">
        <v>177</v>
      </c>
      <c r="H44" s="78">
        <v>177</v>
      </c>
      <c r="I44" s="78"/>
      <c r="J44" s="78"/>
      <c r="K44" s="78"/>
      <c r="L44" s="78"/>
      <c r="M44" s="78"/>
      <c r="N44" s="79"/>
    </row>
    <row r="45" spans="5:17" x14ac:dyDescent="0.3">
      <c r="E45" s="80">
        <v>999</v>
      </c>
      <c r="F45" s="70" t="s">
        <v>64</v>
      </c>
      <c r="G45" s="48"/>
      <c r="H45" s="48"/>
      <c r="I45" s="48"/>
      <c r="J45" s="48"/>
      <c r="K45" s="48">
        <v>1662</v>
      </c>
      <c r="L45" s="48"/>
      <c r="M45" s="48"/>
      <c r="N45" s="56">
        <v>1662</v>
      </c>
    </row>
    <row r="46" spans="5:17" ht="3" customHeight="1" x14ac:dyDescent="0.3">
      <c r="E46" s="87"/>
      <c r="F46" s="88"/>
      <c r="G46" s="48"/>
      <c r="H46" s="48"/>
      <c r="I46" s="48"/>
      <c r="J46" s="48"/>
      <c r="K46" s="48"/>
      <c r="L46" s="48"/>
      <c r="M46" s="48"/>
      <c r="N46" s="56"/>
    </row>
    <row r="47" spans="5:17" ht="16.2" thickBot="1" x14ac:dyDescent="0.35">
      <c r="E47" s="133" t="s">
        <v>33</v>
      </c>
      <c r="F47" s="134"/>
      <c r="G47" s="62">
        <f>SUM(G8:G45)</f>
        <v>123199</v>
      </c>
      <c r="H47" s="62">
        <f>SUM(H8:H45)</f>
        <v>123199</v>
      </c>
      <c r="I47" s="62">
        <f>SUM(I8:I45)</f>
        <v>86482</v>
      </c>
      <c r="J47" s="62">
        <f>SUM(J8:J45)</f>
        <v>86482</v>
      </c>
      <c r="K47" s="62">
        <f>SUM(K8:K45)</f>
        <v>3360</v>
      </c>
      <c r="L47" s="62">
        <f>SUM(L8:L45)</f>
        <v>3360</v>
      </c>
      <c r="M47" s="62">
        <f>SUM(M8:M45)</f>
        <v>84784</v>
      </c>
      <c r="N47" s="63">
        <f>SUM(N8:N45)</f>
        <v>84784</v>
      </c>
    </row>
    <row r="48" spans="5:17" ht="3" customHeight="1" thickTop="1" thickBot="1" x14ac:dyDescent="0.35">
      <c r="E48" s="94"/>
      <c r="F48" s="95"/>
      <c r="G48" s="64"/>
      <c r="H48" s="64"/>
      <c r="I48" s="64"/>
      <c r="J48" s="64"/>
      <c r="K48" s="64"/>
      <c r="L48" s="64"/>
      <c r="M48" s="64"/>
      <c r="N48" s="65"/>
    </row>
    <row r="49" ht="16.2" thickTop="1" x14ac:dyDescent="0.3"/>
  </sheetData>
  <mergeCells count="7">
    <mergeCell ref="E47:F47"/>
    <mergeCell ref="M5:N5"/>
    <mergeCell ref="K5:L5"/>
    <mergeCell ref="G5:H5"/>
    <mergeCell ref="F5:F6"/>
    <mergeCell ref="E5:E6"/>
    <mergeCell ref="I5:J5"/>
  </mergeCells>
  <phoneticPr fontId="1" type="noConversion"/>
  <conditionalFormatting sqref="G7:N7 G49:N1048576">
    <cfRule type="cellIs" dxfId="5" priority="19" operator="equal">
      <formula>0</formula>
    </cfRule>
    <cfRule type="cellIs" dxfId="4" priority="20" operator="equal">
      <formula>0</formula>
    </cfRule>
  </conditionalFormatting>
  <conditionalFormatting sqref="G7:N7 G49:N1048576">
    <cfRule type="cellIs" dxfId="3" priority="18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7" r:id="rId3" name="Button 11">
              <controlPr defaultSize="0" print="0" autoFill="0" autoPict="0" macro="[0]!刷新工作底稿">
                <anchor moveWithCells="1" sizeWithCells="1">
                  <from>
                    <xdr:col>14</xdr:col>
                    <xdr:colOff>175260</xdr:colOff>
                    <xdr:row>3</xdr:row>
                    <xdr:rowOff>198120</xdr:rowOff>
                  </from>
                  <to>
                    <xdr:col>16</xdr:col>
                    <xdr:colOff>182880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E1:P49"/>
  <sheetViews>
    <sheetView zoomScale="80" zoomScaleNormal="80" workbookViewId="0">
      <pane ySplit="7" topLeftCell="A8" activePane="bottomLeft" state="frozen"/>
      <selection activeCell="P21" sqref="P21"/>
      <selection pane="bottomLeft" activeCell="Q30" sqref="Q30"/>
    </sheetView>
  </sheetViews>
  <sheetFormatPr defaultRowHeight="15.6" x14ac:dyDescent="0.3"/>
  <cols>
    <col min="1" max="1" width="3.33203125" style="3" customWidth="1"/>
    <col min="2" max="3" width="0" style="3" hidden="1" customWidth="1"/>
    <col min="4" max="4" width="3.33203125" style="3" customWidth="1"/>
    <col min="5" max="5" width="10.44140625" style="2" bestFit="1" customWidth="1"/>
    <col min="6" max="6" width="20.21875" style="55" bestFit="1" customWidth="1"/>
    <col min="7" max="9" width="11.109375" style="37" customWidth="1"/>
    <col min="10" max="10" width="12.21875" style="37" customWidth="1"/>
    <col min="11" max="14" width="11.109375" style="37" customWidth="1"/>
    <col min="15" max="15" width="8.88671875" style="3"/>
    <col min="16" max="16" width="10.88671875" style="3" bestFit="1" customWidth="1"/>
    <col min="17" max="16384" width="8.88671875" style="3"/>
  </cols>
  <sheetData>
    <row r="1" spans="5:16" x14ac:dyDescent="0.3">
      <c r="F1" s="2"/>
      <c r="G1" s="4"/>
      <c r="H1" s="4"/>
      <c r="I1" s="4"/>
      <c r="J1" s="4"/>
      <c r="K1" s="4"/>
      <c r="L1" s="4"/>
      <c r="M1" s="4"/>
      <c r="N1" s="4"/>
    </row>
    <row r="2" spans="5:16" hidden="1" x14ac:dyDescent="0.3">
      <c r="F2" s="2"/>
      <c r="G2" s="4"/>
      <c r="H2" s="4"/>
      <c r="I2" s="4"/>
      <c r="J2" s="4"/>
      <c r="K2" s="4"/>
      <c r="L2" s="4"/>
      <c r="M2" s="4"/>
      <c r="N2" s="4"/>
    </row>
    <row r="3" spans="5:16" hidden="1" x14ac:dyDescent="0.3">
      <c r="F3" s="2"/>
      <c r="G3" s="4"/>
      <c r="H3" s="4"/>
      <c r="I3" s="4"/>
      <c r="J3" s="4"/>
      <c r="K3" s="4"/>
      <c r="L3" s="4"/>
      <c r="M3" s="4"/>
      <c r="N3" s="4"/>
    </row>
    <row r="4" spans="5:16" ht="16.2" thickBot="1" x14ac:dyDescent="0.35">
      <c r="F4" s="2"/>
      <c r="G4" s="4"/>
      <c r="H4" s="4"/>
      <c r="I4" s="4"/>
      <c r="J4" s="4"/>
      <c r="K4" s="4"/>
      <c r="L4" s="4"/>
      <c r="M4" s="4"/>
      <c r="N4" s="4"/>
    </row>
    <row r="5" spans="5:16" ht="16.2" thickTop="1" x14ac:dyDescent="0.3">
      <c r="E5" s="119" t="s">
        <v>0</v>
      </c>
      <c r="F5" s="128" t="s">
        <v>1</v>
      </c>
      <c r="G5" s="117" t="s">
        <v>31</v>
      </c>
      <c r="H5" s="117"/>
      <c r="I5" s="117" t="s">
        <v>32</v>
      </c>
      <c r="J5" s="117"/>
      <c r="K5" s="117" t="s">
        <v>27</v>
      </c>
      <c r="L5" s="117"/>
      <c r="M5" s="117" t="s">
        <v>28</v>
      </c>
      <c r="N5" s="118"/>
    </row>
    <row r="6" spans="5:16" x14ac:dyDescent="0.3">
      <c r="E6" s="109"/>
      <c r="F6" s="129"/>
      <c r="G6" s="57" t="s">
        <v>29</v>
      </c>
      <c r="H6" s="57" t="s">
        <v>30</v>
      </c>
      <c r="I6" s="57" t="s">
        <v>29</v>
      </c>
      <c r="J6" s="57" t="s">
        <v>30</v>
      </c>
      <c r="K6" s="57" t="s">
        <v>29</v>
      </c>
      <c r="L6" s="57" t="s">
        <v>30</v>
      </c>
      <c r="M6" s="57" t="s">
        <v>29</v>
      </c>
      <c r="N6" s="58" t="s">
        <v>30</v>
      </c>
    </row>
    <row r="7" spans="5:16" hidden="1" x14ac:dyDescent="0.3"/>
    <row r="8" spans="5:16" x14ac:dyDescent="0.3">
      <c r="E8" s="72">
        <v>101</v>
      </c>
      <c r="F8" s="73" t="s">
        <v>34</v>
      </c>
      <c r="G8" s="74">
        <v>1887</v>
      </c>
      <c r="H8" s="74">
        <v>1399</v>
      </c>
      <c r="I8" s="74">
        <v>488</v>
      </c>
      <c r="J8" s="74"/>
      <c r="K8" s="74"/>
      <c r="L8" s="74"/>
      <c r="M8" s="74">
        <v>488</v>
      </c>
      <c r="N8" s="75"/>
    </row>
    <row r="9" spans="5:16" ht="16.2" customHeight="1" x14ac:dyDescent="0.3">
      <c r="E9" s="76">
        <v>102</v>
      </c>
      <c r="F9" s="77" t="s">
        <v>35</v>
      </c>
      <c r="G9" s="78">
        <v>245</v>
      </c>
      <c r="H9" s="78"/>
      <c r="I9" s="78">
        <v>245</v>
      </c>
      <c r="J9" s="78"/>
      <c r="K9" s="78"/>
      <c r="L9" s="78"/>
      <c r="M9" s="78">
        <v>245</v>
      </c>
      <c r="N9" s="79"/>
    </row>
    <row r="10" spans="5:16" x14ac:dyDescent="0.3">
      <c r="E10" s="76">
        <v>103</v>
      </c>
      <c r="F10" s="77" t="s">
        <v>66</v>
      </c>
      <c r="G10" s="78">
        <v>2159</v>
      </c>
      <c r="H10" s="78">
        <v>1000</v>
      </c>
      <c r="I10" s="78">
        <v>1159</v>
      </c>
      <c r="J10" s="78"/>
      <c r="K10" s="78"/>
      <c r="L10" s="78"/>
      <c r="M10" s="78">
        <v>1159</v>
      </c>
      <c r="N10" s="79"/>
    </row>
    <row r="11" spans="5:16" ht="16.2" customHeight="1" x14ac:dyDescent="0.3">
      <c r="E11" s="76">
        <v>107</v>
      </c>
      <c r="F11" s="77" t="s">
        <v>68</v>
      </c>
      <c r="G11" s="78">
        <v>59049</v>
      </c>
      <c r="H11" s="78"/>
      <c r="I11" s="78">
        <v>59049</v>
      </c>
      <c r="J11" s="78"/>
      <c r="K11" s="78"/>
      <c r="L11" s="78"/>
      <c r="M11" s="78">
        <v>59049</v>
      </c>
      <c r="N11" s="79"/>
    </row>
    <row r="12" spans="5:16" x14ac:dyDescent="0.3">
      <c r="E12" s="76">
        <v>110</v>
      </c>
      <c r="F12" s="77" t="s">
        <v>72</v>
      </c>
      <c r="G12" s="78">
        <v>192</v>
      </c>
      <c r="H12" s="78">
        <v>48</v>
      </c>
      <c r="I12" s="78">
        <v>144</v>
      </c>
      <c r="J12" s="78"/>
      <c r="K12" s="78"/>
      <c r="L12" s="78"/>
      <c r="M12" s="78">
        <v>144</v>
      </c>
      <c r="N12" s="79"/>
      <c r="P12" s="14"/>
    </row>
    <row r="13" spans="5:16" ht="16.2" customHeight="1" x14ac:dyDescent="0.3">
      <c r="E13" s="76">
        <v>111</v>
      </c>
      <c r="F13" s="77" t="s">
        <v>74</v>
      </c>
      <c r="G13" s="78">
        <v>2146</v>
      </c>
      <c r="H13" s="78">
        <v>1160</v>
      </c>
      <c r="I13" s="78">
        <v>986</v>
      </c>
      <c r="J13" s="78"/>
      <c r="K13" s="78"/>
      <c r="L13" s="78"/>
      <c r="M13" s="78">
        <v>986</v>
      </c>
      <c r="N13" s="79"/>
    </row>
    <row r="14" spans="5:16" x14ac:dyDescent="0.3">
      <c r="E14" s="76">
        <v>112</v>
      </c>
      <c r="F14" s="77" t="s">
        <v>77</v>
      </c>
      <c r="G14" s="78">
        <v>720</v>
      </c>
      <c r="H14" s="78"/>
      <c r="I14" s="78">
        <v>720</v>
      </c>
      <c r="J14" s="78"/>
      <c r="K14" s="78"/>
      <c r="L14" s="78"/>
      <c r="M14" s="78">
        <v>720</v>
      </c>
      <c r="N14" s="79"/>
    </row>
    <row r="15" spans="5:16" x14ac:dyDescent="0.3">
      <c r="E15" s="76">
        <v>116</v>
      </c>
      <c r="F15" s="77" t="s">
        <v>36</v>
      </c>
      <c r="G15" s="78">
        <v>3800</v>
      </c>
      <c r="H15" s="78">
        <v>2800</v>
      </c>
      <c r="I15" s="78">
        <v>1000</v>
      </c>
      <c r="J15" s="78"/>
      <c r="K15" s="78"/>
      <c r="L15" s="78"/>
      <c r="M15" s="78">
        <v>1000</v>
      </c>
      <c r="N15" s="79"/>
      <c r="P15" s="14"/>
    </row>
    <row r="16" spans="5:16" x14ac:dyDescent="0.3">
      <c r="E16" s="76">
        <v>121</v>
      </c>
      <c r="F16" s="77" t="s">
        <v>70</v>
      </c>
      <c r="G16" s="78"/>
      <c r="H16" s="78"/>
      <c r="I16" s="78"/>
      <c r="J16" s="78"/>
      <c r="K16" s="78"/>
      <c r="L16" s="78"/>
      <c r="M16" s="78"/>
      <c r="N16" s="79"/>
      <c r="P16" s="14"/>
    </row>
    <row r="17" spans="5:16" x14ac:dyDescent="0.3">
      <c r="E17" s="76">
        <v>124</v>
      </c>
      <c r="F17" s="77" t="s">
        <v>79</v>
      </c>
      <c r="G17" s="78">
        <v>4715</v>
      </c>
      <c r="H17" s="78">
        <v>2828</v>
      </c>
      <c r="I17" s="78">
        <v>1887</v>
      </c>
      <c r="J17" s="78"/>
      <c r="K17" s="78"/>
      <c r="L17" s="78"/>
      <c r="M17" s="78">
        <v>1887</v>
      </c>
      <c r="N17" s="79"/>
      <c r="P17" s="14"/>
    </row>
    <row r="18" spans="5:16" x14ac:dyDescent="0.3">
      <c r="E18" s="76">
        <v>125</v>
      </c>
      <c r="F18" s="77" t="s">
        <v>80</v>
      </c>
      <c r="G18" s="78">
        <v>1379</v>
      </c>
      <c r="H18" s="78"/>
      <c r="I18" s="78">
        <v>1379</v>
      </c>
      <c r="J18" s="78"/>
      <c r="K18" s="78"/>
      <c r="L18" s="78"/>
      <c r="M18" s="78">
        <v>1379</v>
      </c>
      <c r="N18" s="79"/>
    </row>
    <row r="19" spans="5:16" x14ac:dyDescent="0.3">
      <c r="E19" s="76">
        <v>131</v>
      </c>
      <c r="F19" s="77" t="s">
        <v>85</v>
      </c>
      <c r="G19" s="78">
        <v>14016</v>
      </c>
      <c r="H19" s="78">
        <v>731</v>
      </c>
      <c r="I19" s="78">
        <v>13285</v>
      </c>
      <c r="J19" s="78"/>
      <c r="K19" s="78"/>
      <c r="L19" s="78"/>
      <c r="M19" s="78">
        <v>13285</v>
      </c>
      <c r="N19" s="79"/>
    </row>
    <row r="20" spans="5:16" x14ac:dyDescent="0.3">
      <c r="E20" s="76">
        <v>201</v>
      </c>
      <c r="F20" s="77" t="s">
        <v>37</v>
      </c>
      <c r="G20" s="78">
        <v>660</v>
      </c>
      <c r="H20" s="78">
        <v>660</v>
      </c>
      <c r="I20" s="78"/>
      <c r="J20" s="78"/>
      <c r="K20" s="78"/>
      <c r="L20" s="78"/>
      <c r="M20" s="78"/>
      <c r="N20" s="79"/>
    </row>
    <row r="21" spans="5:16" x14ac:dyDescent="0.3">
      <c r="E21" s="76">
        <v>301</v>
      </c>
      <c r="F21" s="77" t="s">
        <v>60</v>
      </c>
      <c r="G21" s="78">
        <v>1427</v>
      </c>
      <c r="H21" s="78">
        <v>2262</v>
      </c>
      <c r="I21" s="78"/>
      <c r="J21" s="78">
        <v>835</v>
      </c>
      <c r="K21" s="78"/>
      <c r="L21" s="78"/>
      <c r="M21" s="78"/>
      <c r="N21" s="79">
        <v>835</v>
      </c>
    </row>
    <row r="22" spans="5:16" x14ac:dyDescent="0.3">
      <c r="E22" s="76">
        <v>304</v>
      </c>
      <c r="F22" s="77" t="s">
        <v>56</v>
      </c>
      <c r="G22" s="78">
        <v>1208</v>
      </c>
      <c r="H22" s="78">
        <v>2338</v>
      </c>
      <c r="I22" s="78"/>
      <c r="J22" s="78">
        <v>1130</v>
      </c>
      <c r="K22" s="78"/>
      <c r="L22" s="78"/>
      <c r="M22" s="78"/>
      <c r="N22" s="79">
        <v>1130</v>
      </c>
    </row>
    <row r="23" spans="5:16" x14ac:dyDescent="0.3">
      <c r="E23" s="76">
        <v>306</v>
      </c>
      <c r="F23" s="77" t="s">
        <v>90</v>
      </c>
      <c r="G23" s="78">
        <v>2800</v>
      </c>
      <c r="H23" s="78">
        <v>2810</v>
      </c>
      <c r="I23" s="78"/>
      <c r="J23" s="78">
        <v>10</v>
      </c>
      <c r="K23" s="78"/>
      <c r="L23" s="78"/>
      <c r="M23" s="78"/>
      <c r="N23" s="79">
        <v>10</v>
      </c>
    </row>
    <row r="24" spans="5:16" ht="16.2" customHeight="1" x14ac:dyDescent="0.3">
      <c r="E24" s="76">
        <v>313</v>
      </c>
      <c r="F24" s="77" t="s">
        <v>84</v>
      </c>
      <c r="G24" s="78"/>
      <c r="H24" s="78">
        <v>6363</v>
      </c>
      <c r="I24" s="78"/>
      <c r="J24" s="78">
        <v>6363</v>
      </c>
      <c r="K24" s="78"/>
      <c r="L24" s="78"/>
      <c r="M24" s="78"/>
      <c r="N24" s="79">
        <v>6363</v>
      </c>
    </row>
    <row r="25" spans="5:16" x14ac:dyDescent="0.3">
      <c r="E25" s="76">
        <v>316</v>
      </c>
      <c r="F25" s="77" t="s">
        <v>54</v>
      </c>
      <c r="G25" s="78">
        <v>1000</v>
      </c>
      <c r="H25" s="78">
        <v>61208</v>
      </c>
      <c r="I25" s="78"/>
      <c r="J25" s="78">
        <v>60208</v>
      </c>
      <c r="K25" s="78"/>
      <c r="L25" s="78"/>
      <c r="M25" s="78"/>
      <c r="N25" s="79">
        <v>60208</v>
      </c>
    </row>
    <row r="26" spans="5:16" ht="16.2" customHeight="1" x14ac:dyDescent="0.3">
      <c r="E26" s="76">
        <v>321</v>
      </c>
      <c r="F26" s="77" t="s">
        <v>96</v>
      </c>
      <c r="G26" s="78">
        <v>2800</v>
      </c>
      <c r="H26" s="78">
        <v>14016</v>
      </c>
      <c r="I26" s="78"/>
      <c r="J26" s="78">
        <v>11216</v>
      </c>
      <c r="K26" s="78"/>
      <c r="L26" s="78"/>
      <c r="M26" s="78"/>
      <c r="N26" s="79">
        <v>11216</v>
      </c>
    </row>
    <row r="27" spans="5:16" x14ac:dyDescent="0.3">
      <c r="E27" s="76">
        <v>330</v>
      </c>
      <c r="F27" s="77" t="s">
        <v>58</v>
      </c>
      <c r="G27" s="78">
        <v>1780</v>
      </c>
      <c r="H27" s="78"/>
      <c r="I27" s="78">
        <v>1780</v>
      </c>
      <c r="J27" s="78"/>
      <c r="K27" s="78"/>
      <c r="L27" s="78"/>
      <c r="M27" s="78">
        <v>1780</v>
      </c>
      <c r="N27" s="79"/>
    </row>
    <row r="28" spans="5:16" ht="16.2" customHeight="1" x14ac:dyDescent="0.3">
      <c r="E28" s="76">
        <v>331</v>
      </c>
      <c r="F28" s="77" t="s">
        <v>59</v>
      </c>
      <c r="G28" s="78"/>
      <c r="H28" s="78">
        <v>2125</v>
      </c>
      <c r="I28" s="78"/>
      <c r="J28" s="78">
        <v>2125</v>
      </c>
      <c r="K28" s="78"/>
      <c r="L28" s="78"/>
      <c r="M28" s="78"/>
      <c r="N28" s="79">
        <v>2125</v>
      </c>
    </row>
    <row r="29" spans="5:16" ht="16.2" customHeight="1" x14ac:dyDescent="0.3">
      <c r="E29" s="76">
        <v>401</v>
      </c>
      <c r="F29" s="77" t="s">
        <v>38</v>
      </c>
      <c r="G29" s="78"/>
      <c r="H29" s="78">
        <v>1200</v>
      </c>
      <c r="I29" s="78"/>
      <c r="J29" s="78">
        <v>1200</v>
      </c>
      <c r="K29" s="78"/>
      <c r="L29" s="78">
        <v>1200</v>
      </c>
      <c r="M29" s="78"/>
      <c r="N29" s="79"/>
    </row>
    <row r="30" spans="5:16" ht="16.2" customHeight="1" x14ac:dyDescent="0.3">
      <c r="E30" s="76">
        <v>402</v>
      </c>
      <c r="F30" s="77" t="s">
        <v>144</v>
      </c>
      <c r="G30" s="78"/>
      <c r="H30" s="78"/>
      <c r="I30" s="78"/>
      <c r="J30" s="78"/>
      <c r="K30" s="78"/>
      <c r="L30" s="78"/>
      <c r="M30" s="78"/>
      <c r="N30" s="79"/>
    </row>
    <row r="31" spans="5:16" ht="16.2" customHeight="1" x14ac:dyDescent="0.3">
      <c r="E31" s="76">
        <v>405</v>
      </c>
      <c r="F31" s="77" t="s">
        <v>146</v>
      </c>
      <c r="G31" s="78"/>
      <c r="H31" s="78">
        <v>580</v>
      </c>
      <c r="I31" s="78"/>
      <c r="J31" s="78">
        <v>580</v>
      </c>
      <c r="K31" s="78"/>
      <c r="L31" s="78">
        <v>580</v>
      </c>
      <c r="M31" s="78"/>
      <c r="N31" s="79"/>
    </row>
    <row r="32" spans="5:16" ht="16.2" customHeight="1" x14ac:dyDescent="0.3">
      <c r="E32" s="76">
        <v>409</v>
      </c>
      <c r="F32" s="77" t="s">
        <v>62</v>
      </c>
      <c r="G32" s="78"/>
      <c r="H32" s="78"/>
      <c r="I32" s="78"/>
      <c r="J32" s="78"/>
      <c r="K32" s="78"/>
      <c r="L32" s="78"/>
      <c r="M32" s="78"/>
      <c r="N32" s="79"/>
    </row>
    <row r="33" spans="5:14" ht="16.2" customHeight="1" x14ac:dyDescent="0.3">
      <c r="E33" s="76">
        <v>413</v>
      </c>
      <c r="F33" s="77" t="s">
        <v>149</v>
      </c>
      <c r="G33" s="78"/>
      <c r="H33" s="78"/>
      <c r="I33" s="78"/>
      <c r="J33" s="78"/>
      <c r="K33" s="78"/>
      <c r="L33" s="78"/>
      <c r="M33" s="78"/>
      <c r="N33" s="79"/>
    </row>
    <row r="34" spans="5:14" x14ac:dyDescent="0.3">
      <c r="E34" s="76">
        <v>416</v>
      </c>
      <c r="F34" s="77" t="s">
        <v>39</v>
      </c>
      <c r="G34" s="78"/>
      <c r="H34" s="78"/>
      <c r="I34" s="78"/>
      <c r="J34" s="78"/>
      <c r="K34" s="78"/>
      <c r="L34" s="78"/>
      <c r="M34" s="78"/>
      <c r="N34" s="79"/>
    </row>
    <row r="35" spans="5:14" ht="16.2" customHeight="1" x14ac:dyDescent="0.3">
      <c r="E35" s="76">
        <v>420</v>
      </c>
      <c r="F35" s="77" t="s">
        <v>94</v>
      </c>
      <c r="G35" s="78"/>
      <c r="H35" s="78">
        <v>580</v>
      </c>
      <c r="I35" s="78"/>
      <c r="J35" s="78">
        <v>580</v>
      </c>
      <c r="K35" s="78"/>
      <c r="L35" s="78">
        <v>580</v>
      </c>
      <c r="M35" s="78"/>
      <c r="N35" s="79"/>
    </row>
    <row r="36" spans="5:14" ht="16.2" customHeight="1" x14ac:dyDescent="0.3">
      <c r="E36" s="76">
        <v>501</v>
      </c>
      <c r="F36" s="77" t="s">
        <v>40</v>
      </c>
      <c r="G36" s="78">
        <v>685</v>
      </c>
      <c r="H36" s="78"/>
      <c r="I36" s="78">
        <v>685</v>
      </c>
      <c r="J36" s="78"/>
      <c r="K36" s="78">
        <v>685</v>
      </c>
      <c r="L36" s="78"/>
      <c r="M36" s="78"/>
      <c r="N36" s="79"/>
    </row>
    <row r="37" spans="5:14" ht="16.2" customHeight="1" x14ac:dyDescent="0.3">
      <c r="E37" s="76">
        <v>502</v>
      </c>
      <c r="F37" s="77" t="s">
        <v>52</v>
      </c>
      <c r="G37" s="78"/>
      <c r="H37" s="78"/>
      <c r="I37" s="78"/>
      <c r="J37" s="78"/>
      <c r="K37" s="78"/>
      <c r="L37" s="78"/>
      <c r="M37" s="78"/>
      <c r="N37" s="79"/>
    </row>
    <row r="38" spans="5:14" ht="16.2" customHeight="1" x14ac:dyDescent="0.3">
      <c r="E38" s="76">
        <v>505</v>
      </c>
      <c r="F38" s="77" t="s">
        <v>125</v>
      </c>
      <c r="G38" s="78">
        <v>1160</v>
      </c>
      <c r="H38" s="78"/>
      <c r="I38" s="78">
        <v>1160</v>
      </c>
      <c r="J38" s="78"/>
      <c r="K38" s="78">
        <v>1160</v>
      </c>
      <c r="L38" s="78"/>
      <c r="M38" s="78"/>
      <c r="N38" s="79"/>
    </row>
    <row r="39" spans="5:14" ht="16.2" customHeight="1" x14ac:dyDescent="0.3">
      <c r="E39" s="76">
        <v>506</v>
      </c>
      <c r="F39" s="77" t="s">
        <v>47</v>
      </c>
      <c r="G39" s="78">
        <v>48</v>
      </c>
      <c r="H39" s="78"/>
      <c r="I39" s="78">
        <v>48</v>
      </c>
      <c r="J39" s="78"/>
      <c r="K39" s="78">
        <v>48</v>
      </c>
      <c r="L39" s="78"/>
      <c r="M39" s="78"/>
      <c r="N39" s="79"/>
    </row>
    <row r="40" spans="5:14" ht="16.2" customHeight="1" x14ac:dyDescent="0.3">
      <c r="E40" s="76">
        <v>510</v>
      </c>
      <c r="F40" s="77" t="s">
        <v>160</v>
      </c>
      <c r="G40" s="78">
        <v>53</v>
      </c>
      <c r="H40" s="78"/>
      <c r="I40" s="78">
        <v>53</v>
      </c>
      <c r="J40" s="78"/>
      <c r="K40" s="78">
        <v>53</v>
      </c>
      <c r="L40" s="78"/>
      <c r="M40" s="78"/>
      <c r="N40" s="79"/>
    </row>
    <row r="41" spans="5:14" x14ac:dyDescent="0.3">
      <c r="E41" s="76">
        <v>514</v>
      </c>
      <c r="F41" s="77" t="s">
        <v>41</v>
      </c>
      <c r="G41" s="78"/>
      <c r="H41" s="78"/>
      <c r="I41" s="78"/>
      <c r="J41" s="78"/>
      <c r="K41" s="78"/>
      <c r="L41" s="78"/>
      <c r="M41" s="78"/>
      <c r="N41" s="79"/>
    </row>
    <row r="42" spans="5:14" x14ac:dyDescent="0.3">
      <c r="E42" s="76">
        <v>518</v>
      </c>
      <c r="F42" s="77" t="s">
        <v>43</v>
      </c>
      <c r="G42" s="78"/>
      <c r="H42" s="78"/>
      <c r="I42" s="78"/>
      <c r="J42" s="78"/>
      <c r="K42" s="78"/>
      <c r="L42" s="78"/>
      <c r="M42" s="78"/>
      <c r="N42" s="79"/>
    </row>
    <row r="43" spans="5:14" x14ac:dyDescent="0.3">
      <c r="E43" s="76">
        <v>525</v>
      </c>
      <c r="F43" s="77" t="s">
        <v>42</v>
      </c>
      <c r="G43" s="78">
        <v>2</v>
      </c>
      <c r="H43" s="78"/>
      <c r="I43" s="78">
        <v>2</v>
      </c>
      <c r="J43" s="78"/>
      <c r="K43" s="78">
        <v>2</v>
      </c>
      <c r="L43" s="78"/>
      <c r="M43" s="78"/>
      <c r="N43" s="79"/>
    </row>
    <row r="44" spans="5:14" x14ac:dyDescent="0.3">
      <c r="E44" s="76">
        <v>530</v>
      </c>
      <c r="F44" s="77" t="s">
        <v>45</v>
      </c>
      <c r="G44" s="78">
        <v>177</v>
      </c>
      <c r="H44" s="78"/>
      <c r="I44" s="78">
        <v>177</v>
      </c>
      <c r="J44" s="78"/>
      <c r="K44" s="78">
        <v>177</v>
      </c>
      <c r="L44" s="78"/>
      <c r="M44" s="78"/>
      <c r="N44" s="79"/>
    </row>
    <row r="45" spans="5:14" x14ac:dyDescent="0.3">
      <c r="E45" s="80">
        <v>999</v>
      </c>
      <c r="F45" s="70" t="s">
        <v>64</v>
      </c>
      <c r="G45" s="48"/>
      <c r="H45" s="48"/>
      <c r="I45" s="48"/>
      <c r="J45" s="48"/>
      <c r="K45" s="48">
        <v>235</v>
      </c>
      <c r="L45" s="48"/>
      <c r="M45" s="48"/>
      <c r="N45" s="56">
        <v>235</v>
      </c>
    </row>
    <row r="46" spans="5:14" ht="3" customHeight="1" x14ac:dyDescent="0.3">
      <c r="E46" s="87"/>
      <c r="F46" s="88"/>
      <c r="G46" s="48"/>
      <c r="H46" s="48"/>
      <c r="I46" s="48"/>
      <c r="J46" s="48"/>
      <c r="K46" s="48"/>
      <c r="L46" s="48"/>
      <c r="M46" s="48"/>
      <c r="N46" s="56"/>
    </row>
    <row r="47" spans="5:14" ht="16.2" thickBot="1" x14ac:dyDescent="0.35">
      <c r="E47" s="133" t="s">
        <v>33</v>
      </c>
      <c r="F47" s="134"/>
      <c r="G47" s="62">
        <f t="shared" ref="G47:N47" si="0">SUM(G8:G45)</f>
        <v>104108</v>
      </c>
      <c r="H47" s="62">
        <f t="shared" si="0"/>
        <v>104108</v>
      </c>
      <c r="I47" s="62">
        <f t="shared" si="0"/>
        <v>84247</v>
      </c>
      <c r="J47" s="62">
        <f t="shared" si="0"/>
        <v>84247</v>
      </c>
      <c r="K47" s="62">
        <f t="shared" si="0"/>
        <v>2360</v>
      </c>
      <c r="L47" s="62">
        <f t="shared" si="0"/>
        <v>2360</v>
      </c>
      <c r="M47" s="62">
        <f t="shared" si="0"/>
        <v>82122</v>
      </c>
      <c r="N47" s="63">
        <f t="shared" si="0"/>
        <v>82122</v>
      </c>
    </row>
    <row r="48" spans="5:14" ht="3" customHeight="1" thickTop="1" thickBot="1" x14ac:dyDescent="0.35">
      <c r="E48" s="94"/>
      <c r="F48" s="95"/>
      <c r="G48" s="64"/>
      <c r="H48" s="64"/>
      <c r="I48" s="64"/>
      <c r="J48" s="64"/>
      <c r="K48" s="64"/>
      <c r="L48" s="64"/>
      <c r="M48" s="64"/>
      <c r="N48" s="65"/>
    </row>
    <row r="49" ht="16.2" thickTop="1" x14ac:dyDescent="0.3"/>
  </sheetData>
  <mergeCells count="7">
    <mergeCell ref="K5:L5"/>
    <mergeCell ref="M5:N5"/>
    <mergeCell ref="E47:F47"/>
    <mergeCell ref="E5:E6"/>
    <mergeCell ref="F5:F6"/>
    <mergeCell ref="G5:H5"/>
    <mergeCell ref="I5:J5"/>
  </mergeCells>
  <phoneticPr fontId="1" type="noConversion"/>
  <conditionalFormatting sqref="G7:N7 G49:N1048576">
    <cfRule type="cellIs" dxfId="2" priority="2" operator="equal">
      <formula>0</formula>
    </cfRule>
    <cfRule type="cellIs" dxfId="1" priority="3" operator="equal">
      <formula>0</formula>
    </cfRule>
  </conditionalFormatting>
  <conditionalFormatting sqref="G7:N7 G49:N1048576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1</vt:i4>
      </vt:variant>
    </vt:vector>
  </HeadingPairs>
  <TitlesOfParts>
    <vt:vector size="6" baseType="lpstr">
      <vt:lpstr>會計科目表</vt:lpstr>
      <vt:lpstr>日記簿</vt:lpstr>
      <vt:lpstr>分類帳</vt:lpstr>
      <vt:lpstr>工作底稿</vt:lpstr>
      <vt:lpstr>201609</vt:lpstr>
      <vt:lpstr>現有科目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2017-04-16T03:08:25Z</dcterms:modified>
</cp:coreProperties>
</file>