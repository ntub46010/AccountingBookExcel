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-15" yWindow="3750" windowWidth="17310" windowHeight="3675" activeTab="1"/>
  </bookViews>
  <sheets>
    <sheet name="會計科目表" sheetId="1" r:id="rId1"/>
    <sheet name="日記簿" sheetId="24" r:id="rId2"/>
    <sheet name="分類帳" sheetId="3" r:id="rId3"/>
    <sheet name="工作底稿" sheetId="4" r:id="rId4"/>
    <sheet name="201609" sheetId="27" r:id="rId5"/>
  </sheets>
  <functionGroups builtInGroupCount="17"/>
  <definedNames>
    <definedName name="現有科目">會計科目表!$E$6:$F$1048576</definedName>
  </definedNames>
  <calcPr calcId="144525"/>
</workbook>
</file>

<file path=xl/calcChain.xml><?xml version="1.0" encoding="utf-8"?>
<calcChain xmlns="http://schemas.openxmlformats.org/spreadsheetml/2006/main">
  <c r="N31" i="4" l="1"/>
  <c r="M31" i="4"/>
  <c r="L31" i="4"/>
  <c r="K31" i="4"/>
  <c r="J31" i="4"/>
  <c r="I31" i="4"/>
  <c r="H31" i="4"/>
  <c r="G31" i="4"/>
  <c r="G46" i="24" l="1"/>
  <c r="G11" i="1" l="1"/>
  <c r="G22" i="24"/>
  <c r="G10" i="24" l="1"/>
  <c r="H19" i="1" l="1"/>
  <c r="H17" i="1"/>
  <c r="H18" i="1"/>
  <c r="P11" i="27"/>
  <c r="N47" i="27" l="1"/>
  <c r="M47" i="27"/>
  <c r="L47" i="27"/>
  <c r="K47" i="27"/>
  <c r="J47" i="27"/>
  <c r="I47" i="27"/>
  <c r="H47" i="27"/>
  <c r="G47" i="27"/>
  <c r="M13" i="1" l="1"/>
  <c r="G9" i="24" l="1"/>
  <c r="Q9" i="24"/>
  <c r="BJ9" i="24"/>
  <c r="BS9" i="24"/>
  <c r="CK9" i="24"/>
  <c r="CT9" i="24"/>
  <c r="DC9" i="24"/>
  <c r="BR9" i="24"/>
  <c r="BI9" i="24"/>
  <c r="Z9" i="24"/>
  <c r="DB9" i="24"/>
  <c r="CB9" i="24"/>
  <c r="CJ9" i="24"/>
  <c r="P9" i="24"/>
  <c r="H9" i="24"/>
  <c r="CA9" i="24"/>
  <c r="AI9" i="24"/>
  <c r="CS9" i="24"/>
  <c r="AZ9" i="24" l="1"/>
  <c r="AH9" i="24"/>
  <c r="Y9" i="24"/>
  <c r="AR9" i="24"/>
  <c r="BA9" i="24"/>
  <c r="AQ9" i="24"/>
</calcChain>
</file>

<file path=xl/comments1.xml><?xml version="1.0" encoding="utf-8"?>
<comments xmlns="http://schemas.openxmlformats.org/spreadsheetml/2006/main">
  <authors>
    <author>作者</author>
  </authors>
  <commentList>
    <comment ref="E8" authorId="0">
      <text>
        <r>
          <rPr>
            <b/>
            <sz val="9"/>
            <color indexed="81"/>
            <rFont val="細明體"/>
            <family val="3"/>
            <charset val="136"/>
          </rPr>
          <t>從201609餘額，以每半年0.2%利率，複利三次估算得</t>
        </r>
      </text>
    </comment>
    <comment ref="E12" authorId="0">
      <text>
        <r>
          <rPr>
            <b/>
            <sz val="9"/>
            <color indexed="81"/>
            <rFont val="細明體"/>
            <family val="3"/>
            <charset val="136"/>
          </rPr>
          <t>金石堂、三民書局</t>
        </r>
      </text>
    </comment>
    <comment ref="E14" authorId="0">
      <text>
        <r>
          <rPr>
            <b/>
            <sz val="9"/>
            <color indexed="81"/>
            <rFont val="細明體"/>
            <family val="3"/>
            <charset val="136"/>
          </rPr>
          <t>HoneyScreen、LINEPoint、8591</t>
        </r>
      </text>
    </comment>
    <comment ref="E16" authorId="0">
      <text>
        <r>
          <rPr>
            <b/>
            <sz val="9"/>
            <color indexed="81"/>
            <rFont val="細明體"/>
            <family val="3"/>
            <charset val="136"/>
          </rPr>
          <t>基本上是現金，可以隨手拿來用</t>
        </r>
      </text>
    </comment>
    <comment ref="E17" authorId="0">
      <text>
        <r>
          <rPr>
            <b/>
            <sz val="9"/>
            <color indexed="81"/>
            <rFont val="細明體"/>
            <family val="3"/>
            <charset val="136"/>
          </rPr>
          <t>悠遊卡、回數票</t>
        </r>
      </text>
    </comment>
    <comment ref="E18" authorId="0">
      <text>
        <r>
          <rPr>
            <b/>
            <sz val="9"/>
            <color indexed="81"/>
            <rFont val="細明體"/>
            <family val="3"/>
            <charset val="136"/>
          </rPr>
          <t>應收款項、禮券、網賺資產等幾乎不會動用到的</t>
        </r>
      </text>
    </comment>
    <comment ref="E19" authorId="0">
      <text>
        <r>
          <rPr>
            <b/>
            <sz val="9"/>
            <color indexed="81"/>
            <rFont val="細明體"/>
            <family val="3"/>
            <charset val="136"/>
          </rPr>
          <t>銀行存款</t>
        </r>
      </text>
    </comment>
  </commentList>
</comments>
</file>

<file path=xl/sharedStrings.xml><?xml version="1.0" encoding="utf-8"?>
<sst xmlns="http://schemas.openxmlformats.org/spreadsheetml/2006/main" count="405" uniqueCount="206">
  <si>
    <t>科目編號</t>
    <phoneticPr fontId="1" type="noConversion"/>
  </si>
  <si>
    <t>科目名稱</t>
    <phoneticPr fontId="1" type="noConversion"/>
  </si>
  <si>
    <t>借方</t>
    <phoneticPr fontId="1" type="noConversion"/>
  </si>
  <si>
    <t>貸方</t>
    <phoneticPr fontId="1" type="noConversion"/>
  </si>
  <si>
    <t>初始餘額</t>
    <phoneticPr fontId="1" type="noConversion"/>
  </si>
  <si>
    <t>新增科目</t>
    <phoneticPr fontId="1" type="noConversion"/>
  </si>
  <si>
    <t>科目編號</t>
    <phoneticPr fontId="1" type="noConversion"/>
  </si>
  <si>
    <t>科目名稱</t>
    <phoneticPr fontId="1" type="noConversion"/>
  </si>
  <si>
    <t>初始餘額</t>
    <phoneticPr fontId="1" type="noConversion"/>
  </si>
  <si>
    <t>借方</t>
    <phoneticPr fontId="1" type="noConversion"/>
  </si>
  <si>
    <t>貸方</t>
    <phoneticPr fontId="1" type="noConversion"/>
  </si>
  <si>
    <t>刪除科目</t>
    <phoneticPr fontId="1" type="noConversion"/>
  </si>
  <si>
    <t>科目編號</t>
    <phoneticPr fontId="1" type="noConversion"/>
  </si>
  <si>
    <t>科目名稱</t>
    <phoneticPr fontId="1" type="noConversion"/>
  </si>
  <si>
    <t>▲</t>
  </si>
  <si>
    <t>查看科目</t>
    <phoneticPr fontId="1" type="noConversion"/>
  </si>
  <si>
    <t>科目名稱</t>
    <phoneticPr fontId="1" type="noConversion"/>
  </si>
  <si>
    <t>當前餘額</t>
    <phoneticPr fontId="1" type="noConversion"/>
  </si>
  <si>
    <t>起始月份</t>
    <phoneticPr fontId="1" type="noConversion"/>
  </si>
  <si>
    <t>日期</t>
    <phoneticPr fontId="1" type="noConversion"/>
  </si>
  <si>
    <t>月</t>
    <phoneticPr fontId="1" type="noConversion"/>
  </si>
  <si>
    <t>日</t>
    <phoneticPr fontId="1" type="noConversion"/>
  </si>
  <si>
    <t>借方金額</t>
    <phoneticPr fontId="1" type="noConversion"/>
  </si>
  <si>
    <t>貸方金額</t>
    <phoneticPr fontId="1" type="noConversion"/>
  </si>
  <si>
    <t>餘額</t>
    <phoneticPr fontId="1" type="noConversion"/>
  </si>
  <si>
    <t>科目編號</t>
    <phoneticPr fontId="1" type="noConversion"/>
  </si>
  <si>
    <t>科目名稱</t>
    <phoneticPr fontId="1" type="noConversion"/>
  </si>
  <si>
    <t>綜合損益表</t>
    <phoneticPr fontId="1" type="noConversion"/>
  </si>
  <si>
    <t>資產負債表</t>
    <phoneticPr fontId="1" type="noConversion"/>
  </si>
  <si>
    <t xml:space="preserve">  借方  </t>
    <phoneticPr fontId="1" type="noConversion"/>
  </si>
  <si>
    <t xml:space="preserve">  貸方  </t>
    <phoneticPr fontId="1" type="noConversion"/>
  </si>
  <si>
    <t>總額試算表</t>
    <phoneticPr fontId="1" type="noConversion"/>
  </si>
  <si>
    <t>餘額試算表</t>
    <phoneticPr fontId="1" type="noConversion"/>
  </si>
  <si>
    <t>合計</t>
  </si>
  <si>
    <t>現金－錢包</t>
  </si>
  <si>
    <t>現金－存錢筒</t>
  </si>
  <si>
    <t>應收款項</t>
  </si>
  <si>
    <t>應付款項</t>
  </si>
  <si>
    <t>零用錢收入</t>
  </si>
  <si>
    <t>現金多溢</t>
  </si>
  <si>
    <t>伙食費</t>
  </si>
  <si>
    <t>學校費用</t>
  </si>
  <si>
    <t>現金短少</t>
  </si>
  <si>
    <t>日常用品</t>
  </si>
  <si>
    <t>應收款項</t>
    <phoneticPr fontId="1" type="noConversion"/>
  </si>
  <si>
    <t>其他費損</t>
  </si>
  <si>
    <t>交通費－通勤</t>
    <phoneticPr fontId="1" type="noConversion"/>
  </si>
  <si>
    <t>交通費－其他</t>
  </si>
  <si>
    <t>　　現金－錢包</t>
  </si>
  <si>
    <t>　　現金－存錢筒</t>
  </si>
  <si>
    <t>　　應收款項</t>
  </si>
  <si>
    <t>　　應付款項</t>
  </si>
  <si>
    <t>聚餐費</t>
  </si>
  <si>
    <t>雜項帳戶(學日短其)</t>
  </si>
  <si>
    <t>儲蓄帳戶</t>
  </si>
  <si>
    <t>　　儲蓄帳戶</t>
  </si>
  <si>
    <t>交通費帳戶</t>
  </si>
  <si>
    <t>　　交通費帳戶</t>
  </si>
  <si>
    <t>備抵收益</t>
  </si>
  <si>
    <t>備抵費損</t>
  </si>
  <si>
    <t>保留盈餘</t>
  </si>
  <si>
    <t>　　保留盈餘</t>
  </si>
  <si>
    <t>獎金收入</t>
  </si>
  <si>
    <t>儲蓄帳戶</t>
    <phoneticPr fontId="1" type="noConversion"/>
  </si>
  <si>
    <t>本期損益</t>
  </si>
  <si>
    <t>　　</t>
  </si>
  <si>
    <t>現金－儲蓄</t>
  </si>
  <si>
    <t>郵局存款</t>
  </si>
  <si>
    <t>支付寶存款</t>
  </si>
  <si>
    <t>預付款項－悠遊卡</t>
  </si>
  <si>
    <t>預付款項－悠遊卡</t>
    <phoneticPr fontId="1" type="noConversion"/>
  </si>
  <si>
    <t>預付款項－車票</t>
  </si>
  <si>
    <t>　　預付款項－悠遊卡</t>
  </si>
  <si>
    <t>預付款項－禮券</t>
  </si>
  <si>
    <t>　　預付款項－禮券</t>
  </si>
  <si>
    <t>網賺資產－ＭＩＳ</t>
  </si>
  <si>
    <t>網賺資產－ＡＰＰ</t>
  </si>
  <si>
    <t>　　網賺資產－ＡＰＰ</t>
  </si>
  <si>
    <t>低流動帳戶</t>
  </si>
  <si>
    <t>投資成本</t>
  </si>
  <si>
    <t>　　低流動帳戶</t>
  </si>
  <si>
    <t>低流動帳戶</t>
    <phoneticPr fontId="1" type="noConversion"/>
  </si>
  <si>
    <t>保留盈餘</t>
    <phoneticPr fontId="1" type="noConversion"/>
  </si>
  <si>
    <t>速動帳戶</t>
  </si>
  <si>
    <t>利息收入</t>
    <phoneticPr fontId="1" type="noConversion"/>
  </si>
  <si>
    <t>其他收益</t>
  </si>
  <si>
    <t>投資中帳戶</t>
  </si>
  <si>
    <t>″</t>
    <phoneticPr fontId="1" type="noConversion"/>
  </si>
  <si>
    <t>合計</t>
    <phoneticPr fontId="1" type="noConversion"/>
  </si>
  <si>
    <t>-</t>
    <phoneticPr fontId="1" type="noConversion"/>
  </si>
  <si>
    <t>合計</t>
    <phoneticPr fontId="1" type="noConversion"/>
  </si>
  <si>
    <t>日</t>
    <phoneticPr fontId="1" type="noConversion"/>
  </si>
  <si>
    <t>月</t>
    <phoneticPr fontId="1" type="noConversion"/>
  </si>
  <si>
    <t>摘要</t>
    <phoneticPr fontId="1" type="noConversion"/>
  </si>
  <si>
    <t>貸方金額</t>
    <phoneticPr fontId="1" type="noConversion"/>
  </si>
  <si>
    <t>借方金額</t>
    <phoneticPr fontId="1" type="noConversion"/>
  </si>
  <si>
    <t>會計科目</t>
    <phoneticPr fontId="1" type="noConversion"/>
  </si>
  <si>
    <t>第12頁</t>
    <phoneticPr fontId="1" type="noConversion"/>
  </si>
  <si>
    <t>摘要</t>
    <phoneticPr fontId="1" type="noConversion"/>
  </si>
  <si>
    <t>貸方金額</t>
    <phoneticPr fontId="1" type="noConversion"/>
  </si>
  <si>
    <t>第11頁</t>
    <phoneticPr fontId="1" type="noConversion"/>
  </si>
  <si>
    <t>第10頁</t>
    <phoneticPr fontId="1" type="noConversion"/>
  </si>
  <si>
    <t>第9頁</t>
    <phoneticPr fontId="1" type="noConversion"/>
  </si>
  <si>
    <t>第8頁</t>
    <phoneticPr fontId="1" type="noConversion"/>
  </si>
  <si>
    <t>第7頁</t>
    <phoneticPr fontId="1" type="noConversion"/>
  </si>
  <si>
    <t>第6頁</t>
    <phoneticPr fontId="1" type="noConversion"/>
  </si>
  <si>
    <t>第5頁</t>
    <phoneticPr fontId="1" type="noConversion"/>
  </si>
  <si>
    <t>第4頁</t>
    <phoneticPr fontId="1" type="noConversion"/>
  </si>
  <si>
    <t>第3頁</t>
    <phoneticPr fontId="1" type="noConversion"/>
  </si>
  <si>
    <t>第2頁</t>
    <phoneticPr fontId="1" type="noConversion"/>
  </si>
  <si>
    <t>第1頁</t>
    <phoneticPr fontId="1" type="noConversion"/>
  </si>
  <si>
    <t>交通費－通勤</t>
  </si>
  <si>
    <t>　　備抵收益</t>
  </si>
  <si>
    <t>　　備抵費損</t>
  </si>
  <si>
    <t>工讀薪資</t>
  </si>
  <si>
    <t>交通資助</t>
  </si>
  <si>
    <t>利息收入</t>
  </si>
  <si>
    <t>副食費</t>
  </si>
  <si>
    <t>-</t>
  </si>
  <si>
    <t>預付款項－回數票</t>
  </si>
  <si>
    <t>預付款項－回數票</t>
    <phoneticPr fontId="1" type="noConversion"/>
  </si>
  <si>
    <t>　　預付款項－回數票</t>
  </si>
  <si>
    <t>零用錢收入</t>
    <phoneticPr fontId="1" type="noConversion"/>
  </si>
  <si>
    <t>　　零用錢收入</t>
    <phoneticPr fontId="1" type="noConversion"/>
  </si>
  <si>
    <t>利息收入</t>
    <phoneticPr fontId="1" type="noConversion"/>
  </si>
  <si>
    <t>　　利息收入</t>
    <phoneticPr fontId="1" type="noConversion"/>
  </si>
  <si>
    <t>現金多溢</t>
    <phoneticPr fontId="1" type="noConversion"/>
  </si>
  <si>
    <t>　　現金多溢</t>
    <phoneticPr fontId="1" type="noConversion"/>
  </si>
  <si>
    <t>其他收益</t>
    <phoneticPr fontId="1" type="noConversion"/>
  </si>
  <si>
    <t>　　其他收益</t>
    <phoneticPr fontId="1" type="noConversion"/>
  </si>
  <si>
    <t>伙食費</t>
    <phoneticPr fontId="1" type="noConversion"/>
  </si>
  <si>
    <t>　　伙食費</t>
    <phoneticPr fontId="1" type="noConversion"/>
  </si>
  <si>
    <t>聚餐費</t>
    <phoneticPr fontId="1" type="noConversion"/>
  </si>
  <si>
    <t>　　聚餐費</t>
    <phoneticPr fontId="1" type="noConversion"/>
  </si>
  <si>
    <t>交通費－通勤</t>
    <phoneticPr fontId="1" type="noConversion"/>
  </si>
  <si>
    <t>　　交通費－通勤</t>
    <phoneticPr fontId="1" type="noConversion"/>
  </si>
  <si>
    <t>交通費－其他</t>
    <phoneticPr fontId="1" type="noConversion"/>
  </si>
  <si>
    <t>　　交通費－其他</t>
    <phoneticPr fontId="1" type="noConversion"/>
  </si>
  <si>
    <t>副食費</t>
    <phoneticPr fontId="1" type="noConversion"/>
  </si>
  <si>
    <t>　　副食費</t>
    <phoneticPr fontId="1" type="noConversion"/>
  </si>
  <si>
    <t>學校費用</t>
    <phoneticPr fontId="1" type="noConversion"/>
  </si>
  <si>
    <t>　　學校費用</t>
    <phoneticPr fontId="1" type="noConversion"/>
  </si>
  <si>
    <t>日常用品</t>
    <phoneticPr fontId="1" type="noConversion"/>
  </si>
  <si>
    <t>　　日常用品</t>
    <phoneticPr fontId="1" type="noConversion"/>
  </si>
  <si>
    <t>現金短少</t>
    <phoneticPr fontId="1" type="noConversion"/>
  </si>
  <si>
    <t>　　現金短少</t>
    <phoneticPr fontId="1" type="noConversion"/>
  </si>
  <si>
    <t>其他費損</t>
    <phoneticPr fontId="1" type="noConversion"/>
  </si>
  <si>
    <t>　　其他費損</t>
    <phoneticPr fontId="1" type="noConversion"/>
  </si>
  <si>
    <t>　　</t>
    <phoneticPr fontId="1" type="noConversion"/>
  </si>
  <si>
    <t>　　</t>
    <phoneticPr fontId="1" type="noConversion"/>
  </si>
  <si>
    <t>銀行存款－郵局</t>
  </si>
  <si>
    <t>銀行存款－郵局</t>
    <phoneticPr fontId="1" type="noConversion"/>
  </si>
  <si>
    <t>銀行存款－上海</t>
  </si>
  <si>
    <t>銀行存款－上海</t>
    <phoneticPr fontId="1" type="noConversion"/>
  </si>
  <si>
    <t>　　銀行存款－郵局</t>
  </si>
  <si>
    <t>　　銀行存款－上海</t>
  </si>
  <si>
    <t>薪資收入</t>
    <phoneticPr fontId="1" type="noConversion"/>
  </si>
  <si>
    <t>交通補助</t>
    <phoneticPr fontId="1" type="noConversion"/>
  </si>
  <si>
    <t>薪資收入</t>
    <phoneticPr fontId="1" type="noConversion"/>
  </si>
  <si>
    <t>　　薪資收入</t>
    <phoneticPr fontId="1" type="noConversion"/>
  </si>
  <si>
    <t>交通補助</t>
    <phoneticPr fontId="1" type="noConversion"/>
  </si>
  <si>
    <t>　　交通補助</t>
    <phoneticPr fontId="1" type="noConversion"/>
  </si>
  <si>
    <t>副食費</t>
    <phoneticPr fontId="1" type="noConversion"/>
  </si>
  <si>
    <t>伙食費</t>
    <phoneticPr fontId="1" type="noConversion"/>
  </si>
  <si>
    <t>　　其他收益</t>
    <phoneticPr fontId="1" type="noConversion"/>
  </si>
  <si>
    <t>副食費</t>
    <phoneticPr fontId="1" type="noConversion"/>
  </si>
  <si>
    <t>　　現金－錢包</t>
    <phoneticPr fontId="1" type="noConversion"/>
  </si>
  <si>
    <t>交通費－通勤</t>
    <phoneticPr fontId="1" type="noConversion"/>
  </si>
  <si>
    <t>　　預付款項－回數票</t>
    <phoneticPr fontId="1" type="noConversion"/>
  </si>
  <si>
    <t>交通費帳戶</t>
    <phoneticPr fontId="1" type="noConversion"/>
  </si>
  <si>
    <t>　　備抵費損</t>
    <phoneticPr fontId="1" type="noConversion"/>
  </si>
  <si>
    <t>備抵收益</t>
    <phoneticPr fontId="1" type="noConversion"/>
  </si>
  <si>
    <t>保留盈餘</t>
    <phoneticPr fontId="1" type="noConversion"/>
  </si>
  <si>
    <t>伙食費</t>
    <phoneticPr fontId="1" type="noConversion"/>
  </si>
  <si>
    <t>　　現金－錢包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</si>
  <si>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</si>
  <si>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</si>
  <si>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</si>
  <si>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交通費－其他</t>
    <phoneticPr fontId="1" type="noConversion"/>
  </si>
  <si>
    <t>　　預付款項－悠遊卡</t>
    <phoneticPr fontId="1" type="noConversion"/>
  </si>
  <si>
    <t>伙食費</t>
    <phoneticPr fontId="1" type="noConversion"/>
  </si>
  <si>
    <t>　　現金－錢包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</si>
  <si>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</si>
  <si>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</si>
  <si>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</si>
  <si>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預付款項－回數票</t>
    <phoneticPr fontId="1" type="noConversion"/>
  </si>
  <si>
    <t>　　交通費帳戶</t>
    <phoneticPr fontId="1" type="noConversion"/>
  </si>
  <si>
    <t>現金－錢包</t>
    <phoneticPr fontId="1" type="noConversion"/>
  </si>
  <si>
    <t>　　零用錢收入</t>
    <phoneticPr fontId="1" type="noConversion"/>
  </si>
  <si>
    <t>　　現金多溢</t>
    <phoneticPr fontId="1" type="noConversion"/>
  </si>
  <si>
    <t>備抵收益</t>
    <phoneticPr fontId="1" type="noConversion"/>
  </si>
  <si>
    <t>　　保留盈餘</t>
    <phoneticPr fontId="1" type="noConversion"/>
  </si>
  <si>
    <t>借餘</t>
  </si>
  <si>
    <t>交通費－通勤</t>
    <phoneticPr fontId="1" type="noConversion"/>
  </si>
  <si>
    <t>　　預付款項－回數票</t>
    <phoneticPr fontId="1" type="noConversion"/>
  </si>
  <si>
    <t>伙食費</t>
    <phoneticPr fontId="1" type="noConversion"/>
  </si>
  <si>
    <t>副食費</t>
    <phoneticPr fontId="1" type="noConversion"/>
  </si>
  <si>
    <t>　　現金－錢包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</si>
  <si>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</si>
  <si>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</si>
  <si>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</si>
  <si>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伙食費</t>
    <phoneticPr fontId="1" type="noConversion"/>
  </si>
  <si>
    <t>　　現金－錢包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</si>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</sst>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76" formatCode="_-* #,##0_-;\-* #,##0_-;_-* &quot;-&quot;??_-;_-@_-"/>
  </numFmts>
  <fonts count="10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2"/>
      <scheme val="minor"/>
    </font>
    <font>
      <sz val="9"/>
      <color theme="1"/>
      <name val="新細明體"/>
      <family val="1"/>
      <scheme val="minor"/>
    </font>
    <font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.5"/>
      <color theme="1"/>
      <name val="微軟正黑體"/>
      <family val="2"/>
      <charset val="136"/>
    </font>
    <font>
      <b/>
      <sz val="9"/>
      <color indexed="81"/>
      <name val="細明體"/>
      <family val="3"/>
      <charset val="136"/>
    </font>
    <font>
      <sz val="12"/>
      <color theme="1"/>
      <name val="標楷體"/>
      <family val="4"/>
      <charset val="136"/>
    </font>
  </fonts>
  <fills count="9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double">
        <color rgb="FFFF0000"/>
      </bottom>
      <diagonal/>
    </border>
    <border>
      <left style="thin">
        <color auto="1"/>
      </left>
      <right style="thick">
        <color auto="1"/>
      </right>
      <top style="thin">
        <color rgb="FFFF0000"/>
      </top>
      <bottom style="double">
        <color rgb="FFFF0000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0" fontId="3" fillId="0" borderId="0"/>
  </cellStyleXfs>
  <cellXfs count="131">
    <xf numFmtId="0" fontId="0" fillId="0" borderId="0" xfId="0"/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0" borderId="0" xfId="1" applyNumberFormat="1" applyFont="1" applyAlignment="1"/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/>
    <xf numFmtId="176" fontId="4" fillId="3" borderId="11" xfId="1" applyNumberFormat="1" applyFont="1" applyFill="1" applyBorder="1" applyAlignment="1"/>
    <xf numFmtId="176" fontId="4" fillId="3" borderId="12" xfId="1" applyNumberFormat="1" applyFont="1" applyFill="1" applyBorder="1" applyAlignment="1"/>
    <xf numFmtId="0" fontId="4" fillId="7" borderId="5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76" fontId="4" fillId="0" borderId="8" xfId="1" applyNumberFormat="1" applyFont="1" applyBorder="1" applyAlignment="1"/>
    <xf numFmtId="176" fontId="4" fillId="0" borderId="9" xfId="1" applyNumberFormat="1" applyFont="1" applyBorder="1" applyAlignment="1"/>
    <xf numFmtId="176" fontId="4" fillId="0" borderId="0" xfId="0" applyNumberFormat="1" applyFont="1"/>
    <xf numFmtId="0" fontId="4" fillId="7" borderId="4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1" xfId="0" applyFont="1" applyFill="1" applyBorder="1"/>
    <xf numFmtId="176" fontId="4" fillId="4" borderId="11" xfId="1" applyNumberFormat="1" applyFont="1" applyFill="1" applyBorder="1" applyAlignment="1"/>
    <xf numFmtId="176" fontId="4" fillId="4" borderId="12" xfId="1" applyNumberFormat="1" applyFont="1" applyFill="1" applyBorder="1" applyAlignment="1"/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11" xfId="0" applyFont="1" applyFill="1" applyBorder="1"/>
    <xf numFmtId="176" fontId="4" fillId="5" borderId="11" xfId="1" applyNumberFormat="1" applyFont="1" applyFill="1" applyBorder="1" applyAlignment="1"/>
    <xf numFmtId="176" fontId="4" fillId="5" borderId="12" xfId="1" applyNumberFormat="1" applyFont="1" applyFill="1" applyBorder="1" applyAlignment="1"/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1" xfId="0" applyFont="1" applyFill="1" applyBorder="1"/>
    <xf numFmtId="176" fontId="4" fillId="6" borderId="11" xfId="1" applyNumberFormat="1" applyFont="1" applyFill="1" applyBorder="1" applyAlignment="1"/>
    <xf numFmtId="176" fontId="4" fillId="6" borderId="12" xfId="1" applyNumberFormat="1" applyFont="1" applyFill="1" applyBorder="1" applyAlignment="1"/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1" xfId="0" applyFont="1" applyFill="1" applyBorder="1"/>
    <xf numFmtId="176" fontId="4" fillId="2" borderId="11" xfId="1" applyNumberFormat="1" applyFont="1" applyFill="1" applyBorder="1" applyAlignment="1"/>
    <xf numFmtId="176" fontId="4" fillId="2" borderId="12" xfId="1" applyNumberFormat="1" applyFont="1" applyFill="1" applyBorder="1" applyAlignment="1"/>
    <xf numFmtId="176" fontId="4" fillId="0" borderId="0" xfId="1" applyNumberFormat="1" applyFont="1" applyAlignment="1"/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8" borderId="10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/>
    <xf numFmtId="176" fontId="4" fillId="8" borderId="11" xfId="1" applyNumberFormat="1" applyFont="1" applyFill="1" applyBorder="1" applyAlignment="1"/>
    <xf numFmtId="0" fontId="4" fillId="8" borderId="1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176" fontId="4" fillId="0" borderId="11" xfId="1" applyNumberFormat="1" applyFont="1" applyBorder="1" applyAlignment="1"/>
    <xf numFmtId="0" fontId="4" fillId="0" borderId="0" xfId="0" applyFont="1" applyAlignment="1">
      <alignment vertical="center"/>
    </xf>
    <xf numFmtId="176" fontId="4" fillId="0" borderId="8" xfId="1" applyNumberFormat="1" applyFont="1" applyBorder="1" applyAlignment="1">
      <alignment horizontal="center" vertical="center"/>
    </xf>
    <xf numFmtId="176" fontId="4" fillId="0" borderId="9" xfId="1" applyNumberFormat="1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76" fontId="4" fillId="0" borderId="0" xfId="1" applyNumberFormat="1" applyFont="1" applyBorder="1" applyAlignment="1"/>
    <xf numFmtId="0" fontId="4" fillId="0" borderId="0" xfId="0" applyFont="1" applyBorder="1"/>
    <xf numFmtId="0" fontId="4" fillId="0" borderId="0" xfId="0" applyFont="1" applyAlignment="1">
      <alignment horizontal="left" vertical="center"/>
    </xf>
    <xf numFmtId="176" fontId="4" fillId="0" borderId="12" xfId="1" applyNumberFormat="1" applyFont="1" applyBorder="1" applyAlignment="1"/>
    <xf numFmtId="0" fontId="4" fillId="7" borderId="5" xfId="1" applyNumberFormat="1" applyFont="1" applyFill="1" applyBorder="1" applyAlignment="1">
      <alignment horizontal="center"/>
    </xf>
    <xf numFmtId="0" fontId="4" fillId="7" borderId="6" xfId="1" applyNumberFormat="1" applyFont="1" applyFill="1" applyBorder="1" applyAlignment="1">
      <alignment horizontal="center"/>
    </xf>
    <xf numFmtId="0" fontId="4" fillId="7" borderId="11" xfId="1" applyNumberFormat="1" applyFont="1" applyFill="1" applyBorder="1" applyAlignment="1">
      <alignment horizontal="center"/>
    </xf>
    <xf numFmtId="0" fontId="4" fillId="7" borderId="12" xfId="1" applyNumberFormat="1" applyFont="1" applyFill="1" applyBorder="1" applyAlignment="1">
      <alignment horizontal="center"/>
    </xf>
    <xf numFmtId="176" fontId="4" fillId="0" borderId="28" xfId="1" applyNumberFormat="1" applyFont="1" applyBorder="1" applyAlignment="1"/>
    <xf numFmtId="176" fontId="4" fillId="0" borderId="29" xfId="1" applyNumberFormat="1" applyFont="1" applyBorder="1" applyAlignment="1"/>
    <xf numFmtId="176" fontId="4" fillId="0" borderId="26" xfId="1" applyNumberFormat="1" applyFont="1" applyBorder="1" applyAlignment="1"/>
    <xf numFmtId="176" fontId="4" fillId="0" borderId="27" xfId="1" applyNumberFormat="1" applyFont="1" applyBorder="1" applyAlignment="1"/>
    <xf numFmtId="0" fontId="4" fillId="0" borderId="7" xfId="0" applyFont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/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 vertical="center"/>
    </xf>
    <xf numFmtId="0" fontId="4" fillId="0" borderId="18" xfId="0" applyFont="1" applyBorder="1"/>
    <xf numFmtId="176" fontId="4" fillId="0" borderId="18" xfId="1" applyNumberFormat="1" applyFont="1" applyBorder="1" applyAlignment="1"/>
    <xf numFmtId="176" fontId="4" fillId="0" borderId="31" xfId="1" applyNumberFormat="1" applyFont="1" applyBorder="1" applyAlignment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/>
    <xf numFmtId="176" fontId="4" fillId="0" borderId="5" xfId="1" applyNumberFormat="1" applyFont="1" applyBorder="1" applyAlignment="1"/>
    <xf numFmtId="176" fontId="4" fillId="0" borderId="6" xfId="1" applyNumberFormat="1" applyFont="1" applyBorder="1" applyAlignment="1"/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9" xfId="0" applyFont="1" applyBorder="1"/>
    <xf numFmtId="0" fontId="4" fillId="0" borderId="24" xfId="0" applyFont="1" applyBorder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8" xfId="0" applyFont="1" applyFill="1" applyBorder="1"/>
    <xf numFmtId="176" fontId="4" fillId="2" borderId="8" xfId="1" applyNumberFormat="1" applyFont="1" applyFill="1" applyBorder="1" applyAlignment="1"/>
    <xf numFmtId="176" fontId="4" fillId="2" borderId="9" xfId="1" applyNumberFormat="1" applyFont="1" applyFill="1" applyBorder="1" applyAlignment="1"/>
    <xf numFmtId="0" fontId="4" fillId="0" borderId="20" xfId="0" applyFont="1" applyBorder="1"/>
    <xf numFmtId="0" fontId="4" fillId="0" borderId="25" xfId="0" applyFont="1" applyBorder="1"/>
    <xf numFmtId="0" fontId="4" fillId="7" borderId="5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76" fontId="0" fillId="0" borderId="8" xfId="1" applyNumberFormat="1" applyFont="1" applyBorder="1" applyAlignment="1"/>
    <xf numFmtId="176" fontId="0" fillId="0" borderId="9" xfId="1" applyNumberFormat="1" applyFont="1" applyBorder="1" applyAlignment="1"/>
    <xf numFmtId="0" fontId="9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76" fontId="0" fillId="0" borderId="5" xfId="1" applyNumberFormat="1" applyFont="1" applyBorder="1" applyAlignment="1"/>
    <xf numFmtId="176" fontId="0" fillId="0" borderId="6" xfId="1" applyNumberFormat="1" applyFont="1" applyBorder="1" applyAlignment="1"/>
    <xf numFmtId="0" fontId="4" fillId="7" borderId="2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2" xfId="1" applyNumberFormat="1" applyFont="1" applyFill="1" applyBorder="1" applyAlignment="1">
      <alignment horizontal="center"/>
    </xf>
    <xf numFmtId="0" fontId="4" fillId="7" borderId="3" xfId="1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/>
    </xf>
    <xf numFmtId="0" fontId="4" fillId="7" borderId="16" xfId="0" applyFont="1" applyFill="1" applyBorder="1" applyAlignment="1">
      <alignment horizontal="center"/>
    </xf>
    <xf numFmtId="0" fontId="4" fillId="7" borderId="17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176" fontId="4" fillId="7" borderId="2" xfId="1" applyNumberFormat="1" applyFont="1" applyFill="1" applyBorder="1" applyAlignment="1">
      <alignment horizontal="center" vertical="center"/>
    </xf>
    <xf numFmtId="176" fontId="4" fillId="7" borderId="11" xfId="1" applyNumberFormat="1" applyFont="1" applyFill="1" applyBorder="1" applyAlignment="1">
      <alignment horizontal="center" vertical="center"/>
    </xf>
    <xf numFmtId="176" fontId="4" fillId="7" borderId="13" xfId="1" applyNumberFormat="1" applyFont="1" applyFill="1" applyBorder="1" applyAlignment="1">
      <alignment horizontal="center" vertical="center"/>
    </xf>
    <xf numFmtId="176" fontId="4" fillId="7" borderId="14" xfId="1" applyNumberFormat="1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/>
    </xf>
    <xf numFmtId="176" fontId="4" fillId="7" borderId="3" xfId="1" applyNumberFormat="1" applyFont="1" applyFill="1" applyBorder="1" applyAlignment="1">
      <alignment horizontal="center" vertical="center"/>
    </xf>
    <xf numFmtId="176" fontId="4" fillId="7" borderId="12" xfId="1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</cellXfs>
  <cellStyles count="3">
    <cellStyle name="一般" xfId="0" builtinId="0"/>
    <cellStyle name="一般 2" xfId="2"/>
    <cellStyle name="千分位" xfId="1" builtinId="3"/>
  </cellStyles>
  <dxfs count="6">
    <dxf>
      <font>
        <color theme="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/>
      </font>
    </dxf>
    <dxf>
      <font>
        <color theme="0" tint="-0.14996795556505021"/>
      </font>
    </dxf>
    <dxf>
      <font>
        <color theme="0" tint="-0.34998626667073579"/>
      </font>
    </dxf>
  </dxfs>
  <tableStyles count="0" defaultTableStyle="TableStyleMedium2" defaultPivotStyle="PivotStyleMedium9"/>
  <colors>
    <mruColors>
      <color rgb="FF0066FF"/>
      <color rgb="FFFF33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104775</xdr:rowOff>
        </xdr:from>
        <xdr:to>
          <xdr:col>18</xdr:col>
          <xdr:colOff>0</xdr:colOff>
          <xdr:row>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新增科目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</xdr:row>
          <xdr:rowOff>123825</xdr:rowOff>
        </xdr:from>
        <xdr:to>
          <xdr:col>15</xdr:col>
          <xdr:colOff>0</xdr:colOff>
          <xdr:row>12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刪除科目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236220</xdr:colOff>
      <xdr:row>2</xdr:row>
      <xdr:rowOff>45720</xdr:rowOff>
    </xdr:from>
    <xdr:ext cx="184731" cy="264560"/>
    <xdr:sp macro="" textlink="">
      <xdr:nvSpPr>
        <xdr:cNvPr id="2" name="文字方塊 1"/>
        <xdr:cNvSpPr txBox="1"/>
      </xdr:nvSpPr>
      <xdr:spPr>
        <a:xfrm>
          <a:off x="8770620" y="45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4</xdr:row>
          <xdr:rowOff>104775</xdr:rowOff>
        </xdr:from>
        <xdr:to>
          <xdr:col>8</xdr:col>
          <xdr:colOff>400050</xdr:colOff>
          <xdr:row>5</xdr:row>
          <xdr:rowOff>104775</xdr:rowOff>
        </xdr:to>
        <xdr:sp macro="" textlink="">
          <xdr:nvSpPr>
            <xdr:cNvPr id="20549" name="Button 69" hidden="1">
              <a:extLst>
                <a:ext uri="{63B3BB69-23CF-44E3-9099-C40C66FF867C}">
                  <a14:compatExt spid="_x0000_s20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4</xdr:row>
          <xdr:rowOff>104775</xdr:rowOff>
        </xdr:from>
        <xdr:to>
          <xdr:col>17</xdr:col>
          <xdr:colOff>400050</xdr:colOff>
          <xdr:row>5</xdr:row>
          <xdr:rowOff>104775</xdr:rowOff>
        </xdr:to>
        <xdr:sp macro="" textlink="">
          <xdr:nvSpPr>
            <xdr:cNvPr id="20550" name="Button 70" hidden="1">
              <a:extLst>
                <a:ext uri="{63B3BB69-23CF-44E3-9099-C40C66FF867C}">
                  <a14:compatExt spid="_x0000_s20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4</xdr:row>
          <xdr:rowOff>104775</xdr:rowOff>
        </xdr:from>
        <xdr:to>
          <xdr:col>26</xdr:col>
          <xdr:colOff>400050</xdr:colOff>
          <xdr:row>5</xdr:row>
          <xdr:rowOff>104775</xdr:rowOff>
        </xdr:to>
        <xdr:sp macro="" textlink="">
          <xdr:nvSpPr>
            <xdr:cNvPr id="20551" name="Button 71" hidden="1">
              <a:extLst>
                <a:ext uri="{63B3BB69-23CF-44E3-9099-C40C66FF867C}">
                  <a14:compatExt spid="_x0000_s20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600075</xdr:colOff>
          <xdr:row>4</xdr:row>
          <xdr:rowOff>104775</xdr:rowOff>
        </xdr:from>
        <xdr:to>
          <xdr:col>35</xdr:col>
          <xdr:colOff>400050</xdr:colOff>
          <xdr:row>5</xdr:row>
          <xdr:rowOff>104775</xdr:rowOff>
        </xdr:to>
        <xdr:sp macro="" textlink="">
          <xdr:nvSpPr>
            <xdr:cNvPr id="20552" name="Button 72" hidden="1">
              <a:extLst>
                <a:ext uri="{63B3BB69-23CF-44E3-9099-C40C66FF867C}">
                  <a14:compatExt spid="_x0000_s20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600075</xdr:colOff>
          <xdr:row>4</xdr:row>
          <xdr:rowOff>104775</xdr:rowOff>
        </xdr:from>
        <xdr:to>
          <xdr:col>44</xdr:col>
          <xdr:colOff>400050</xdr:colOff>
          <xdr:row>5</xdr:row>
          <xdr:rowOff>104775</xdr:rowOff>
        </xdr:to>
        <xdr:sp macro="" textlink="">
          <xdr:nvSpPr>
            <xdr:cNvPr id="20553" name="Button 73" hidden="1">
              <a:extLst>
                <a:ext uri="{63B3BB69-23CF-44E3-9099-C40C66FF867C}">
                  <a14:compatExt spid="_x0000_s20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600075</xdr:colOff>
          <xdr:row>4</xdr:row>
          <xdr:rowOff>104775</xdr:rowOff>
        </xdr:from>
        <xdr:to>
          <xdr:col>53</xdr:col>
          <xdr:colOff>400050</xdr:colOff>
          <xdr:row>5</xdr:row>
          <xdr:rowOff>104775</xdr:rowOff>
        </xdr:to>
        <xdr:sp macro="" textlink="">
          <xdr:nvSpPr>
            <xdr:cNvPr id="20554" name="Button 74" hidden="1">
              <a:extLst>
                <a:ext uri="{63B3BB69-23CF-44E3-9099-C40C66FF867C}">
                  <a14:compatExt spid="_x0000_s20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600075</xdr:colOff>
          <xdr:row>4</xdr:row>
          <xdr:rowOff>104775</xdr:rowOff>
        </xdr:from>
        <xdr:to>
          <xdr:col>62</xdr:col>
          <xdr:colOff>400050</xdr:colOff>
          <xdr:row>5</xdr:row>
          <xdr:rowOff>104775</xdr:rowOff>
        </xdr:to>
        <xdr:sp macro="" textlink="">
          <xdr:nvSpPr>
            <xdr:cNvPr id="20555" name="Button 75" hidden="1">
              <a:extLst>
                <a:ext uri="{63B3BB69-23CF-44E3-9099-C40C66FF867C}">
                  <a14:compatExt spid="_x0000_s20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609600</xdr:colOff>
          <xdr:row>4</xdr:row>
          <xdr:rowOff>104775</xdr:rowOff>
        </xdr:from>
        <xdr:to>
          <xdr:col>72</xdr:col>
          <xdr:colOff>0</xdr:colOff>
          <xdr:row>5</xdr:row>
          <xdr:rowOff>104775</xdr:rowOff>
        </xdr:to>
        <xdr:sp macro="" textlink="">
          <xdr:nvSpPr>
            <xdr:cNvPr id="20556" name="Button 76" hidden="1">
              <a:extLst>
                <a:ext uri="{63B3BB69-23CF-44E3-9099-C40C66FF867C}">
                  <a14:compatExt spid="_x0000_s20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600075</xdr:colOff>
          <xdr:row>4</xdr:row>
          <xdr:rowOff>95250</xdr:rowOff>
        </xdr:from>
        <xdr:to>
          <xdr:col>80</xdr:col>
          <xdr:colOff>400050</xdr:colOff>
          <xdr:row>5</xdr:row>
          <xdr:rowOff>95250</xdr:rowOff>
        </xdr:to>
        <xdr:sp macro="" textlink="">
          <xdr:nvSpPr>
            <xdr:cNvPr id="20557" name="Button 77" hidden="1">
              <a:extLst>
                <a:ext uri="{63B3BB69-23CF-44E3-9099-C40C66FF867C}">
                  <a14:compatExt spid="_x0000_s20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609600</xdr:colOff>
          <xdr:row>4</xdr:row>
          <xdr:rowOff>104775</xdr:rowOff>
        </xdr:from>
        <xdr:to>
          <xdr:col>90</xdr:col>
          <xdr:colOff>0</xdr:colOff>
          <xdr:row>5</xdr:row>
          <xdr:rowOff>104775</xdr:rowOff>
        </xdr:to>
        <xdr:sp macro="" textlink="">
          <xdr:nvSpPr>
            <xdr:cNvPr id="20558" name="Button 78" hidden="1">
              <a:extLst>
                <a:ext uri="{63B3BB69-23CF-44E3-9099-C40C66FF867C}">
                  <a14:compatExt spid="_x0000_s20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</xdr:col>
          <xdr:colOff>600075</xdr:colOff>
          <xdr:row>4</xdr:row>
          <xdr:rowOff>95250</xdr:rowOff>
        </xdr:from>
        <xdr:to>
          <xdr:col>98</xdr:col>
          <xdr:colOff>400050</xdr:colOff>
          <xdr:row>5</xdr:row>
          <xdr:rowOff>95250</xdr:rowOff>
        </xdr:to>
        <xdr:sp macro="" textlink="">
          <xdr:nvSpPr>
            <xdr:cNvPr id="20559" name="Button 79" hidden="1">
              <a:extLst>
                <a:ext uri="{63B3BB69-23CF-44E3-9099-C40C66FF867C}">
                  <a14:compatExt spid="_x0000_s20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600075</xdr:colOff>
          <xdr:row>4</xdr:row>
          <xdr:rowOff>95250</xdr:rowOff>
        </xdr:from>
        <xdr:to>
          <xdr:col>107</xdr:col>
          <xdr:colOff>400050</xdr:colOff>
          <xdr:row>5</xdr:row>
          <xdr:rowOff>95250</xdr:rowOff>
        </xdr:to>
        <xdr:sp macro="" textlink="">
          <xdr:nvSpPr>
            <xdr:cNvPr id="20560" name="Button 80" hidden="1">
              <a:extLst>
                <a:ext uri="{63B3BB69-23CF-44E3-9099-C40C66FF867C}">
                  <a14:compatExt spid="_x0000_s20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9525</xdr:rowOff>
        </xdr:from>
        <xdr:to>
          <xdr:col>7</xdr:col>
          <xdr:colOff>428625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查看分類帳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3</xdr:row>
          <xdr:rowOff>200025</xdr:rowOff>
        </xdr:from>
        <xdr:to>
          <xdr:col>16</xdr:col>
          <xdr:colOff>180975</xdr:colOff>
          <xdr:row>5</xdr:row>
          <xdr:rowOff>190500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刷新工作底稿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U82"/>
  <sheetViews>
    <sheetView topLeftCell="A16" zoomScaleNormal="100" workbookViewId="0">
      <selection activeCell="G11" sqref="G11"/>
    </sheetView>
  </sheetViews>
  <sheetFormatPr defaultColWidth="8.875" defaultRowHeight="15.75" x14ac:dyDescent="0.25"/>
  <cols>
    <col min="1" max="1" width="8.875" style="3" customWidth="1"/>
    <col min="2" max="3" width="8.875" style="3" hidden="1" customWidth="1"/>
    <col min="4" max="4" width="10.5" style="2" bestFit="1" customWidth="1"/>
    <col min="5" max="5" width="20.25" style="2" bestFit="1" customWidth="1"/>
    <col min="6" max="6" width="20.25" style="3" hidden="1" customWidth="1"/>
    <col min="7" max="8" width="10.875" style="37" bestFit="1" customWidth="1"/>
    <col min="9" max="9" width="5.25" style="3" customWidth="1"/>
    <col min="10" max="10" width="8.875" style="3" hidden="1" customWidth="1"/>
    <col min="11" max="11" width="5.5" style="3" customWidth="1"/>
    <col min="12" max="12" width="10.5" style="3" bestFit="1" customWidth="1"/>
    <col min="13" max="13" width="20.375" style="3" bestFit="1" customWidth="1"/>
    <col min="14" max="15" width="8.5" style="3" bestFit="1" customWidth="1"/>
    <col min="16" max="16" width="1.625" style="3" customWidth="1"/>
    <col min="17" max="17" width="8.875" style="3"/>
    <col min="18" max="18" width="4.5" style="3" customWidth="1"/>
    <col min="19" max="19" width="8.875" style="3" customWidth="1"/>
    <col min="20" max="20" width="3.75" style="3" customWidth="1"/>
    <col min="21" max="16384" width="8.875" style="3"/>
  </cols>
  <sheetData>
    <row r="1" spans="4:21" x14ac:dyDescent="0.25">
      <c r="G1" s="4"/>
      <c r="H1" s="4"/>
    </row>
    <row r="2" spans="4:21" ht="16.149999999999999" hidden="1" customHeight="1" x14ac:dyDescent="0.25">
      <c r="G2" s="4"/>
      <c r="H2" s="4"/>
      <c r="U2" s="3" t="s">
        <v>53</v>
      </c>
    </row>
    <row r="3" spans="4:21" ht="16.5" thickBot="1" x14ac:dyDescent="0.3">
      <c r="G3" s="4"/>
      <c r="H3" s="4"/>
    </row>
    <row r="4" spans="4:21" ht="16.5" thickTop="1" x14ac:dyDescent="0.25">
      <c r="D4" s="107" t="s">
        <v>0</v>
      </c>
      <c r="E4" s="103" t="s">
        <v>1</v>
      </c>
      <c r="F4" s="103"/>
      <c r="G4" s="105" t="s">
        <v>4</v>
      </c>
      <c r="H4" s="106"/>
      <c r="L4" s="112" t="s">
        <v>5</v>
      </c>
      <c r="M4" s="113"/>
      <c r="N4" s="113"/>
      <c r="O4" s="114"/>
    </row>
    <row r="5" spans="4:21" x14ac:dyDescent="0.25">
      <c r="D5" s="108"/>
      <c r="E5" s="104"/>
      <c r="F5" s="104"/>
      <c r="G5" s="59" t="s">
        <v>2</v>
      </c>
      <c r="H5" s="60" t="s">
        <v>3</v>
      </c>
      <c r="L5" s="111" t="s">
        <v>6</v>
      </c>
      <c r="M5" s="109" t="s">
        <v>7</v>
      </c>
      <c r="N5" s="109" t="s">
        <v>8</v>
      </c>
      <c r="O5" s="110"/>
    </row>
    <row r="6" spans="4:21" x14ac:dyDescent="0.25">
      <c r="D6" s="5">
        <v>101</v>
      </c>
      <c r="E6" s="6" t="s">
        <v>34</v>
      </c>
      <c r="F6" s="7" t="s">
        <v>34</v>
      </c>
      <c r="G6" s="8">
        <v>1946</v>
      </c>
      <c r="H6" s="9"/>
      <c r="L6" s="111"/>
      <c r="M6" s="109"/>
      <c r="N6" s="91" t="s">
        <v>9</v>
      </c>
      <c r="O6" s="92" t="s">
        <v>10</v>
      </c>
    </row>
    <row r="7" spans="4:21" ht="16.5" thickBot="1" x14ac:dyDescent="0.3">
      <c r="D7" s="5">
        <v>102</v>
      </c>
      <c r="E7" s="6" t="s">
        <v>35</v>
      </c>
      <c r="F7" s="7" t="s">
        <v>48</v>
      </c>
      <c r="G7" s="8">
        <v>6074</v>
      </c>
      <c r="H7" s="9"/>
      <c r="L7" s="11"/>
      <c r="M7" s="1"/>
      <c r="N7" s="12"/>
      <c r="O7" s="13"/>
    </row>
    <row r="8" spans="4:21" ht="16.5" thickTop="1" x14ac:dyDescent="0.25">
      <c r="D8" s="5">
        <v>103</v>
      </c>
      <c r="E8" s="6" t="s">
        <v>151</v>
      </c>
      <c r="F8" s="7" t="s">
        <v>35</v>
      </c>
      <c r="G8" s="8">
        <v>59404</v>
      </c>
      <c r="H8" s="9"/>
      <c r="K8" s="14"/>
    </row>
    <row r="9" spans="4:21" x14ac:dyDescent="0.25">
      <c r="D9" s="5">
        <v>107</v>
      </c>
      <c r="E9" s="6" t="s">
        <v>153</v>
      </c>
      <c r="F9" s="7" t="s">
        <v>49</v>
      </c>
      <c r="G9" s="8">
        <v>17721</v>
      </c>
      <c r="H9" s="9"/>
      <c r="K9" s="14"/>
    </row>
    <row r="10" spans="4:21" ht="16.5" thickBot="1" x14ac:dyDescent="0.3">
      <c r="D10" s="5">
        <v>110</v>
      </c>
      <c r="E10" s="6" t="s">
        <v>70</v>
      </c>
      <c r="F10" s="7" t="s">
        <v>150</v>
      </c>
      <c r="G10" s="8">
        <v>52</v>
      </c>
      <c r="H10" s="9"/>
    </row>
    <row r="11" spans="4:21" ht="16.5" thickTop="1" x14ac:dyDescent="0.25">
      <c r="D11" s="5">
        <v>111</v>
      </c>
      <c r="E11" s="6" t="s">
        <v>120</v>
      </c>
      <c r="F11" s="7" t="s">
        <v>154</v>
      </c>
      <c r="G11" s="8">
        <f>14*58</f>
        <v>812</v>
      </c>
      <c r="H11" s="9"/>
      <c r="L11" s="115" t="s">
        <v>11</v>
      </c>
      <c r="M11" s="116"/>
    </row>
    <row r="12" spans="4:21" x14ac:dyDescent="0.25">
      <c r="D12" s="5">
        <v>112</v>
      </c>
      <c r="E12" s="6" t="s">
        <v>73</v>
      </c>
      <c r="F12" s="7" t="s">
        <v>152</v>
      </c>
      <c r="G12" s="8">
        <v>720</v>
      </c>
      <c r="H12" s="9"/>
      <c r="L12" s="93" t="s">
        <v>12</v>
      </c>
      <c r="M12" s="92" t="s">
        <v>13</v>
      </c>
    </row>
    <row r="13" spans="4:21" ht="16.5" thickBot="1" x14ac:dyDescent="0.3">
      <c r="D13" s="5">
        <v>116</v>
      </c>
      <c r="E13" s="6" t="s">
        <v>44</v>
      </c>
      <c r="F13" s="7" t="s">
        <v>155</v>
      </c>
      <c r="G13" s="8"/>
      <c r="H13" s="9"/>
      <c r="L13" s="11"/>
      <c r="M13" s="16" t="str">
        <f>IF(L13&lt;&gt;"",VLOOKUP(L13,D6:E1048576,2,FALSE),"")</f>
        <v/>
      </c>
    </row>
    <row r="14" spans="4:21" ht="16.5" thickTop="1" x14ac:dyDescent="0.25">
      <c r="D14" s="5">
        <v>125</v>
      </c>
      <c r="E14" s="6" t="s">
        <v>76</v>
      </c>
      <c r="F14" s="7" t="s">
        <v>69</v>
      </c>
      <c r="G14" s="8">
        <v>776</v>
      </c>
      <c r="H14" s="9"/>
    </row>
    <row r="15" spans="4:21" x14ac:dyDescent="0.25">
      <c r="D15" s="17">
        <v>201</v>
      </c>
      <c r="E15" s="18" t="s">
        <v>37</v>
      </c>
      <c r="F15" s="19" t="s">
        <v>72</v>
      </c>
      <c r="G15" s="20"/>
      <c r="H15" s="21"/>
    </row>
    <row r="16" spans="4:21" x14ac:dyDescent="0.25">
      <c r="D16" s="22">
        <v>301</v>
      </c>
      <c r="E16" s="23" t="s">
        <v>82</v>
      </c>
      <c r="F16" s="24" t="s">
        <v>119</v>
      </c>
      <c r="G16" s="25"/>
      <c r="H16" s="26">
        <v>8020</v>
      </c>
      <c r="L16" s="14"/>
    </row>
    <row r="17" spans="4:20" ht="16.899999999999999" customHeight="1" x14ac:dyDescent="0.25">
      <c r="D17" s="22">
        <v>304</v>
      </c>
      <c r="E17" s="23" t="s">
        <v>56</v>
      </c>
      <c r="F17" s="24" t="s">
        <v>121</v>
      </c>
      <c r="G17" s="25"/>
      <c r="H17" s="26">
        <f>G10+G11</f>
        <v>864</v>
      </c>
      <c r="M17" s="14"/>
      <c r="T17" s="2"/>
    </row>
    <row r="18" spans="4:20" x14ac:dyDescent="0.25">
      <c r="D18" s="22">
        <v>313</v>
      </c>
      <c r="E18" s="23" t="s">
        <v>81</v>
      </c>
      <c r="F18" s="24" t="s">
        <v>73</v>
      </c>
      <c r="G18" s="25"/>
      <c r="H18" s="26">
        <f>G12+G13+G14</f>
        <v>1496</v>
      </c>
      <c r="O18" s="14"/>
    </row>
    <row r="19" spans="4:20" x14ac:dyDescent="0.25">
      <c r="D19" s="22">
        <v>316</v>
      </c>
      <c r="E19" s="23" t="s">
        <v>63</v>
      </c>
      <c r="F19" s="24" t="s">
        <v>74</v>
      </c>
      <c r="G19" s="25"/>
      <c r="H19" s="26">
        <f>G8+G9</f>
        <v>77125</v>
      </c>
    </row>
    <row r="20" spans="4:20" x14ac:dyDescent="0.25">
      <c r="D20" s="22">
        <v>330</v>
      </c>
      <c r="E20" s="23" t="s">
        <v>58</v>
      </c>
      <c r="F20" s="24" t="s">
        <v>36</v>
      </c>
      <c r="G20" s="25"/>
      <c r="H20" s="26"/>
      <c r="K20" s="14"/>
      <c r="L20" s="14"/>
    </row>
    <row r="21" spans="4:20" x14ac:dyDescent="0.25">
      <c r="D21" s="22">
        <v>331</v>
      </c>
      <c r="E21" s="23" t="s">
        <v>59</v>
      </c>
      <c r="F21" s="24" t="s">
        <v>50</v>
      </c>
      <c r="G21" s="25"/>
      <c r="H21" s="26"/>
      <c r="L21" s="14"/>
    </row>
    <row r="22" spans="4:20" x14ac:dyDescent="0.25">
      <c r="D22" s="27">
        <v>401</v>
      </c>
      <c r="E22" s="28" t="s">
        <v>38</v>
      </c>
      <c r="F22" s="29" t="s">
        <v>76</v>
      </c>
      <c r="G22" s="30"/>
      <c r="H22" s="31"/>
    </row>
    <row r="23" spans="4:20" x14ac:dyDescent="0.25">
      <c r="D23" s="27">
        <v>402</v>
      </c>
      <c r="E23" s="28" t="s">
        <v>156</v>
      </c>
      <c r="F23" s="29" t="s">
        <v>77</v>
      </c>
      <c r="G23" s="30"/>
      <c r="H23" s="31"/>
    </row>
    <row r="24" spans="4:20" x14ac:dyDescent="0.25">
      <c r="D24" s="27">
        <v>405</v>
      </c>
      <c r="E24" s="28" t="s">
        <v>157</v>
      </c>
      <c r="F24" s="29" t="s">
        <v>37</v>
      </c>
      <c r="G24" s="30"/>
      <c r="H24" s="31"/>
    </row>
    <row r="25" spans="4:20" x14ac:dyDescent="0.25">
      <c r="D25" s="27">
        <v>413</v>
      </c>
      <c r="E25" s="28" t="s">
        <v>84</v>
      </c>
      <c r="F25" s="29" t="s">
        <v>51</v>
      </c>
      <c r="G25" s="30"/>
      <c r="H25" s="31"/>
    </row>
    <row r="26" spans="4:20" x14ac:dyDescent="0.25">
      <c r="D26" s="27">
        <v>416</v>
      </c>
      <c r="E26" s="28" t="s">
        <v>39</v>
      </c>
      <c r="F26" s="29" t="s">
        <v>60</v>
      </c>
      <c r="G26" s="30"/>
      <c r="H26" s="31"/>
    </row>
    <row r="27" spans="4:20" x14ac:dyDescent="0.25">
      <c r="D27" s="27">
        <v>420</v>
      </c>
      <c r="E27" s="28" t="s">
        <v>85</v>
      </c>
      <c r="F27" s="29" t="s">
        <v>61</v>
      </c>
      <c r="G27" s="30"/>
      <c r="H27" s="31"/>
    </row>
    <row r="28" spans="4:20" x14ac:dyDescent="0.25">
      <c r="D28" s="32">
        <v>501</v>
      </c>
      <c r="E28" s="33" t="s">
        <v>40</v>
      </c>
      <c r="F28" s="34" t="s">
        <v>56</v>
      </c>
      <c r="G28" s="35"/>
      <c r="H28" s="36"/>
    </row>
    <row r="29" spans="4:20" x14ac:dyDescent="0.25">
      <c r="D29" s="32">
        <v>502</v>
      </c>
      <c r="E29" s="33" t="s">
        <v>162</v>
      </c>
      <c r="F29" s="34" t="s">
        <v>57</v>
      </c>
      <c r="G29" s="35"/>
      <c r="H29" s="36"/>
    </row>
    <row r="30" spans="4:20" x14ac:dyDescent="0.25">
      <c r="D30" s="32">
        <v>505</v>
      </c>
      <c r="E30" s="33" t="s">
        <v>52</v>
      </c>
      <c r="F30" s="34" t="s">
        <v>78</v>
      </c>
      <c r="G30" s="35"/>
      <c r="H30" s="36"/>
    </row>
    <row r="31" spans="4:20" x14ac:dyDescent="0.25">
      <c r="D31" s="32">
        <v>505</v>
      </c>
      <c r="E31" s="33" t="s">
        <v>46</v>
      </c>
      <c r="F31" s="34" t="s">
        <v>80</v>
      </c>
      <c r="G31" s="35"/>
      <c r="H31" s="36"/>
    </row>
    <row r="32" spans="4:20" x14ac:dyDescent="0.25">
      <c r="D32" s="32">
        <v>506</v>
      </c>
      <c r="E32" s="33" t="s">
        <v>47</v>
      </c>
      <c r="F32" s="34" t="s">
        <v>54</v>
      </c>
      <c r="G32" s="35"/>
      <c r="H32" s="36"/>
    </row>
    <row r="33" spans="4:8" x14ac:dyDescent="0.25">
      <c r="D33" s="32">
        <v>514</v>
      </c>
      <c r="E33" s="33" t="s">
        <v>41</v>
      </c>
      <c r="F33" s="34" t="s">
        <v>55</v>
      </c>
      <c r="G33" s="35"/>
      <c r="H33" s="36"/>
    </row>
    <row r="34" spans="4:8" x14ac:dyDescent="0.25">
      <c r="D34" s="32">
        <v>518</v>
      </c>
      <c r="E34" s="33" t="s">
        <v>43</v>
      </c>
      <c r="F34" s="34" t="s">
        <v>58</v>
      </c>
      <c r="G34" s="35"/>
      <c r="H34" s="36"/>
    </row>
    <row r="35" spans="4:8" x14ac:dyDescent="0.25">
      <c r="D35" s="32">
        <v>525</v>
      </c>
      <c r="E35" s="33" t="s">
        <v>42</v>
      </c>
      <c r="F35" s="34" t="s">
        <v>112</v>
      </c>
      <c r="G35" s="35"/>
      <c r="H35" s="36"/>
    </row>
    <row r="36" spans="4:8" ht="16.5" thickBot="1" x14ac:dyDescent="0.3">
      <c r="D36" s="84">
        <v>530</v>
      </c>
      <c r="E36" s="85" t="s">
        <v>45</v>
      </c>
      <c r="F36" s="86" t="s">
        <v>59</v>
      </c>
      <c r="G36" s="87"/>
      <c r="H36" s="88"/>
    </row>
    <row r="37" spans="4:8" ht="16.5" thickTop="1" x14ac:dyDescent="0.25">
      <c r="D37" s="3"/>
      <c r="E37" s="3"/>
      <c r="F37" s="3" t="s">
        <v>113</v>
      </c>
      <c r="G37" s="3"/>
      <c r="H37" s="3"/>
    </row>
    <row r="38" spans="4:8" x14ac:dyDescent="0.25">
      <c r="D38" s="3"/>
      <c r="E38" s="3"/>
      <c r="F38" s="3" t="s">
        <v>122</v>
      </c>
      <c r="G38" s="3"/>
      <c r="H38" s="3"/>
    </row>
    <row r="39" spans="4:8" x14ac:dyDescent="0.25">
      <c r="D39" s="3"/>
      <c r="E39" s="3"/>
      <c r="F39" s="3" t="s">
        <v>123</v>
      </c>
      <c r="G39" s="3"/>
      <c r="H39" s="3"/>
    </row>
    <row r="40" spans="4:8" x14ac:dyDescent="0.25">
      <c r="F40" s="3" t="s">
        <v>158</v>
      </c>
    </row>
    <row r="41" spans="4:8" x14ac:dyDescent="0.25">
      <c r="D41" s="3"/>
      <c r="E41" s="3"/>
      <c r="F41" s="3" t="s">
        <v>159</v>
      </c>
      <c r="G41" s="3"/>
      <c r="H41" s="3"/>
    </row>
    <row r="42" spans="4:8" x14ac:dyDescent="0.25">
      <c r="F42" s="3" t="s">
        <v>160</v>
      </c>
    </row>
    <row r="43" spans="4:8" x14ac:dyDescent="0.25">
      <c r="D43" s="54"/>
      <c r="E43" s="54"/>
      <c r="F43" s="54" t="s">
        <v>161</v>
      </c>
      <c r="G43" s="54"/>
      <c r="H43" s="54"/>
    </row>
    <row r="44" spans="4:8" x14ac:dyDescent="0.25">
      <c r="F44" s="3" t="s">
        <v>124</v>
      </c>
    </row>
    <row r="45" spans="4:8" x14ac:dyDescent="0.25">
      <c r="F45" s="3" t="s">
        <v>125</v>
      </c>
    </row>
    <row r="46" spans="4:8" x14ac:dyDescent="0.25">
      <c r="F46" s="3" t="s">
        <v>126</v>
      </c>
    </row>
    <row r="47" spans="4:8" x14ac:dyDescent="0.25">
      <c r="F47" s="3" t="s">
        <v>127</v>
      </c>
    </row>
    <row r="48" spans="4:8" x14ac:dyDescent="0.25">
      <c r="F48" s="3" t="s">
        <v>128</v>
      </c>
    </row>
    <row r="49" spans="6:6" x14ac:dyDescent="0.25">
      <c r="F49" s="3" t="s">
        <v>129</v>
      </c>
    </row>
    <row r="50" spans="6:6" x14ac:dyDescent="0.25">
      <c r="F50" s="3" t="s">
        <v>130</v>
      </c>
    </row>
    <row r="51" spans="6:6" x14ac:dyDescent="0.25">
      <c r="F51" s="3" t="s">
        <v>131</v>
      </c>
    </row>
    <row r="52" spans="6:6" x14ac:dyDescent="0.25">
      <c r="F52" s="3" t="s">
        <v>132</v>
      </c>
    </row>
    <row r="53" spans="6:6" x14ac:dyDescent="0.25">
      <c r="F53" s="3" t="s">
        <v>133</v>
      </c>
    </row>
    <row r="54" spans="6:6" x14ac:dyDescent="0.25">
      <c r="F54" s="3" t="s">
        <v>134</v>
      </c>
    </row>
    <row r="55" spans="6:6" x14ac:dyDescent="0.25">
      <c r="F55" s="3" t="s">
        <v>135</v>
      </c>
    </row>
    <row r="56" spans="6:6" x14ac:dyDescent="0.25">
      <c r="F56" s="3" t="s">
        <v>136</v>
      </c>
    </row>
    <row r="57" spans="6:6" x14ac:dyDescent="0.25">
      <c r="F57" s="3" t="s">
        <v>137</v>
      </c>
    </row>
    <row r="58" spans="6:6" x14ac:dyDescent="0.25">
      <c r="F58" s="3" t="s">
        <v>138</v>
      </c>
    </row>
    <row r="59" spans="6:6" x14ac:dyDescent="0.25">
      <c r="F59" s="3" t="s">
        <v>139</v>
      </c>
    </row>
    <row r="60" spans="6:6" x14ac:dyDescent="0.25">
      <c r="F60" s="3" t="s">
        <v>140</v>
      </c>
    </row>
    <row r="61" spans="6:6" x14ac:dyDescent="0.25">
      <c r="F61" s="3" t="s">
        <v>141</v>
      </c>
    </row>
    <row r="62" spans="6:6" x14ac:dyDescent="0.25">
      <c r="F62" s="3" t="s">
        <v>142</v>
      </c>
    </row>
    <row r="63" spans="6:6" x14ac:dyDescent="0.25">
      <c r="F63" s="3" t="s">
        <v>143</v>
      </c>
    </row>
    <row r="64" spans="6:6" x14ac:dyDescent="0.25">
      <c r="F64" s="3" t="s">
        <v>144</v>
      </c>
    </row>
    <row r="65" spans="6:6" x14ac:dyDescent="0.25">
      <c r="F65" s="3" t="s">
        <v>145</v>
      </c>
    </row>
    <row r="66" spans="6:6" x14ac:dyDescent="0.25">
      <c r="F66" s="3" t="s">
        <v>146</v>
      </c>
    </row>
    <row r="67" spans="6:6" x14ac:dyDescent="0.25">
      <c r="F67" s="3" t="s">
        <v>147</v>
      </c>
    </row>
    <row r="69" spans="6:6" x14ac:dyDescent="0.25">
      <c r="F69" s="3" t="s">
        <v>149</v>
      </c>
    </row>
    <row r="71" spans="6:6" x14ac:dyDescent="0.25">
      <c r="F71" s="3" t="s">
        <v>149</v>
      </c>
    </row>
    <row r="73" spans="6:6" x14ac:dyDescent="0.25">
      <c r="F73" s="3" t="s">
        <v>149</v>
      </c>
    </row>
    <row r="75" spans="6:6" x14ac:dyDescent="0.25">
      <c r="F75" s="3" t="s">
        <v>149</v>
      </c>
    </row>
    <row r="77" spans="6:6" x14ac:dyDescent="0.25">
      <c r="F77" s="3" t="s">
        <v>149</v>
      </c>
    </row>
    <row r="79" spans="6:6" x14ac:dyDescent="0.25">
      <c r="F79" s="3" t="s">
        <v>148</v>
      </c>
    </row>
    <row r="81" spans="6:6" x14ac:dyDescent="0.25">
      <c r="F81" s="3" t="s">
        <v>65</v>
      </c>
    </row>
    <row r="82" spans="6:6" x14ac:dyDescent="0.25">
      <c r="F82" s="3" t="s">
        <v>65</v>
      </c>
    </row>
  </sheetData>
  <sortState ref="D6:H42">
    <sortCondition ref="D6"/>
  </sortState>
  <mergeCells count="9">
    <mergeCell ref="L11:M11"/>
    <mergeCell ref="F4:F5"/>
    <mergeCell ref="G4:H4"/>
    <mergeCell ref="E4:E5"/>
    <mergeCell ref="D4:D5"/>
    <mergeCell ref="N5:O5"/>
    <mergeCell ref="M5:M6"/>
    <mergeCell ref="L5:L6"/>
    <mergeCell ref="L4:O4"/>
  </mergeCells>
  <phoneticPr fontId="1" type="noConversion"/>
  <dataValidations count="4">
    <dataValidation type="whole" allowBlank="1" showInputMessage="1" showErrorMessage="1" sqref="L7">
      <formula1>101</formula1>
      <formula2>599</formula2>
    </dataValidation>
    <dataValidation type="decimal" operator="greaterThan" allowBlank="1" showInputMessage="1" showErrorMessage="1" sqref="N7:O7">
      <formula1>0</formula1>
    </dataValidation>
    <dataValidation type="decimal" operator="greaterThanOrEqual" allowBlank="1" showInputMessage="1" showErrorMessage="1" sqref="G44:H1048576 G35 G34:H34 G19:H19 G26:G33 G22:G24 H31 G6:H14 H22:H28">
      <formula1>0</formula1>
    </dataValidation>
    <dataValidation type="list" allowBlank="1" showInputMessage="1" showErrorMessage="1" sqref="L13">
      <formula1>$D6:$D1048576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新增科目">
                <anchor moveWithCells="1" sizeWithCells="1">
                  <from>
                    <xdr:col>16</xdr:col>
                    <xdr:colOff>0</xdr:colOff>
                    <xdr:row>4</xdr:row>
                    <xdr:rowOff>104775</xdr:rowOff>
                  </from>
                  <to>
                    <xdr:col>18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刪除科目">
                <anchor moveWithCells="1" sizeWithCells="1">
                  <from>
                    <xdr:col>13</xdr:col>
                    <xdr:colOff>76200</xdr:colOff>
                    <xdr:row>10</xdr:row>
                    <xdr:rowOff>123825</xdr:rowOff>
                  </from>
                  <to>
                    <xdr:col>15</xdr:col>
                    <xdr:colOff>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DD135"/>
  <sheetViews>
    <sheetView tabSelected="1" zoomScaleNormal="100" workbookViewId="0">
      <pane ySplit="9" topLeftCell="A38" activePane="bottomLeft" state="frozen"/>
      <selection pane="bottomLeft" activeCell="E56" sqref="E56"/>
    </sheetView>
  </sheetViews>
  <sheetFormatPr defaultColWidth="8.875" defaultRowHeight="15.75" x14ac:dyDescent="0.25"/>
  <cols>
    <col min="1" max="1" width="3.875" style="3" bestFit="1" customWidth="1"/>
    <col min="2" max="2" width="0" style="3" hidden="1" customWidth="1"/>
    <col min="3" max="3" width="8.875" style="3" hidden="1" customWidth="1"/>
    <col min="4" max="5" width="4.125" style="2" customWidth="1"/>
    <col min="6" max="6" width="25.125" style="3" bestFit="1" customWidth="1"/>
    <col min="7" max="8" width="12.25" style="37" bestFit="1" customWidth="1"/>
    <col min="9" max="9" width="6.375" style="2" bestFit="1" customWidth="1"/>
    <col min="10" max="11" width="8.875" style="3" hidden="1" customWidth="1"/>
    <col min="12" max="12" width="10.375" style="3" bestFit="1" customWidth="1"/>
    <col min="13" max="14" width="4.125" style="2" bestFit="1" customWidth="1"/>
    <col min="15" max="15" width="25.5" style="3" bestFit="1" customWidth="1"/>
    <col min="16" max="17" width="12.25" style="37" bestFit="1" customWidth="1"/>
    <col min="18" max="18" width="6.375" style="40" bestFit="1" customWidth="1"/>
    <col min="19" max="20" width="8.875" style="3" hidden="1" customWidth="1"/>
    <col min="21" max="21" width="8.875" style="3" customWidth="1"/>
    <col min="22" max="23" width="4.125" style="2" bestFit="1" customWidth="1"/>
    <col min="24" max="24" width="25.5" style="3" bestFit="1" customWidth="1"/>
    <col min="25" max="26" width="12.25" style="37" bestFit="1" customWidth="1"/>
    <col min="27" max="27" width="6.375" style="2" bestFit="1" customWidth="1"/>
    <col min="28" max="29" width="8.875" style="3" hidden="1" customWidth="1"/>
    <col min="30" max="30" width="8.875" style="3" customWidth="1"/>
    <col min="31" max="32" width="4.125" style="2" bestFit="1" customWidth="1"/>
    <col min="33" max="33" width="23.125" style="3" bestFit="1" customWidth="1"/>
    <col min="34" max="35" width="12.25" style="37" bestFit="1" customWidth="1"/>
    <col min="36" max="36" width="6.375" style="40" bestFit="1" customWidth="1"/>
    <col min="37" max="38" width="0" style="3" hidden="1" customWidth="1"/>
    <col min="39" max="39" width="8.875" style="3"/>
    <col min="40" max="41" width="4.125" style="40" bestFit="1" customWidth="1"/>
    <col min="42" max="42" width="23.125" style="3" bestFit="1" customWidth="1"/>
    <col min="43" max="44" width="12.25" style="37" bestFit="1" customWidth="1"/>
    <col min="45" max="45" width="6.375" style="3" bestFit="1" customWidth="1"/>
    <col min="46" max="47" width="0" style="3" hidden="1" customWidth="1"/>
    <col min="48" max="48" width="8.875" style="3"/>
    <col min="49" max="50" width="4.125" style="40" bestFit="1" customWidth="1"/>
    <col min="51" max="51" width="23.125" style="3" bestFit="1" customWidth="1"/>
    <col min="52" max="53" width="12.25" style="37" bestFit="1" customWidth="1"/>
    <col min="54" max="54" width="6.375" style="3" bestFit="1" customWidth="1"/>
    <col min="55" max="56" width="0" style="3" hidden="1" customWidth="1"/>
    <col min="57" max="57" width="8.875" style="3"/>
    <col min="58" max="59" width="4.125" style="40" bestFit="1" customWidth="1"/>
    <col min="60" max="60" width="23.125" style="3" bestFit="1" customWidth="1"/>
    <col min="61" max="62" width="12.25" style="37" bestFit="1" customWidth="1"/>
    <col min="63" max="63" width="6.375" style="3" bestFit="1" customWidth="1"/>
    <col min="64" max="65" width="0" style="3" hidden="1" customWidth="1"/>
    <col min="66" max="66" width="8.875" style="3"/>
    <col min="67" max="68" width="4.125" style="40" bestFit="1" customWidth="1"/>
    <col min="69" max="69" width="23.125" style="3" bestFit="1" customWidth="1"/>
    <col min="70" max="71" width="12.25" style="37" bestFit="1" customWidth="1"/>
    <col min="72" max="72" width="6.375" style="3" bestFit="1" customWidth="1"/>
    <col min="73" max="74" width="0" style="3" hidden="1" customWidth="1"/>
    <col min="75" max="75" width="8.875" style="3"/>
    <col min="76" max="77" width="4.125" style="40" bestFit="1" customWidth="1"/>
    <col min="78" max="78" width="23.125" style="3" bestFit="1" customWidth="1"/>
    <col min="79" max="80" width="12.25" style="37" bestFit="1" customWidth="1"/>
    <col min="81" max="81" width="6.375" style="40" bestFit="1" customWidth="1"/>
    <col min="82" max="83" width="0" style="3" hidden="1" customWidth="1"/>
    <col min="84" max="84" width="8.875" style="3"/>
    <col min="85" max="86" width="4.125" style="40" bestFit="1" customWidth="1"/>
    <col min="87" max="87" width="23.125" style="3" bestFit="1" customWidth="1"/>
    <col min="88" max="89" width="12.25" style="37" bestFit="1" customWidth="1"/>
    <col min="90" max="90" width="6.375" style="3" bestFit="1" customWidth="1"/>
    <col min="91" max="92" width="0" style="3" hidden="1" customWidth="1"/>
    <col min="93" max="93" width="8.875" style="3"/>
    <col min="94" max="94" width="4.125" style="2" bestFit="1" customWidth="1"/>
    <col min="95" max="95" width="4.125" style="40" bestFit="1" customWidth="1"/>
    <col min="96" max="96" width="23.125" style="3" customWidth="1"/>
    <col min="97" max="98" width="12.25" style="37" bestFit="1" customWidth="1"/>
    <col min="99" max="99" width="6.375" style="3" bestFit="1" customWidth="1"/>
    <col min="100" max="101" width="0" style="3" hidden="1" customWidth="1"/>
    <col min="102" max="102" width="8.875" style="3"/>
    <col min="103" max="103" width="4.125" style="2" bestFit="1" customWidth="1"/>
    <col min="104" max="104" width="4.125" style="40" bestFit="1" customWidth="1"/>
    <col min="105" max="105" width="23.125" style="3" customWidth="1"/>
    <col min="106" max="107" width="12.25" style="37" bestFit="1" customWidth="1"/>
    <col min="108" max="108" width="6.375" style="3" bestFit="1" customWidth="1"/>
    <col min="109" max="16384" width="8.875" style="3"/>
  </cols>
  <sheetData>
    <row r="1" spans="1:108" hidden="1" x14ac:dyDescent="0.25">
      <c r="A1" s="38" t="s">
        <v>87</v>
      </c>
      <c r="F1" s="39"/>
      <c r="G1" s="3"/>
      <c r="H1" s="3"/>
      <c r="P1" s="3"/>
      <c r="Q1" s="3"/>
      <c r="AH1" s="3"/>
      <c r="AI1" s="3"/>
    </row>
    <row r="2" spans="1:108" hidden="1" x14ac:dyDescent="0.25">
      <c r="G2" s="3"/>
      <c r="H2" s="3"/>
      <c r="P2" s="3"/>
      <c r="Q2" s="3"/>
      <c r="AH2" s="3"/>
      <c r="AI2" s="3"/>
    </row>
    <row r="3" spans="1:108" ht="16.149999999999999" hidden="1" customHeight="1" x14ac:dyDescent="0.25">
      <c r="G3" s="3"/>
      <c r="H3" s="3"/>
      <c r="P3" s="3"/>
      <c r="Q3" s="3"/>
      <c r="AH3" s="3"/>
      <c r="AI3" s="3"/>
    </row>
    <row r="4" spans="1:108" ht="16.149999999999999" hidden="1" customHeight="1" x14ac:dyDescent="0.25">
      <c r="G4" s="3"/>
      <c r="H4" s="3"/>
      <c r="P4" s="3"/>
      <c r="Q4" s="3"/>
      <c r="AH4" s="3"/>
      <c r="AI4" s="3"/>
    </row>
    <row r="5" spans="1:108" ht="16.149999999999999" customHeight="1" x14ac:dyDescent="0.25">
      <c r="A5" s="98" t="s">
        <v>87</v>
      </c>
      <c r="G5" s="3"/>
      <c r="H5" s="3"/>
      <c r="P5" s="3"/>
      <c r="Q5" s="3"/>
      <c r="AH5" s="3"/>
      <c r="AI5" s="3"/>
    </row>
    <row r="6" spans="1:108" ht="16.5" thickBot="1" x14ac:dyDescent="0.3">
      <c r="G6" s="3"/>
      <c r="H6" s="3"/>
      <c r="P6" s="3"/>
      <c r="Q6" s="3"/>
      <c r="AH6" s="3"/>
      <c r="AI6" s="3"/>
    </row>
    <row r="7" spans="1:108" ht="16.5" thickTop="1" x14ac:dyDescent="0.25">
      <c r="D7" s="112" t="s">
        <v>110</v>
      </c>
      <c r="E7" s="126"/>
      <c r="F7" s="124" t="s">
        <v>96</v>
      </c>
      <c r="G7" s="118" t="s">
        <v>95</v>
      </c>
      <c r="H7" s="120" t="s">
        <v>99</v>
      </c>
      <c r="I7" s="122" t="s">
        <v>98</v>
      </c>
      <c r="M7" s="115" t="s">
        <v>109</v>
      </c>
      <c r="N7" s="117"/>
      <c r="O7" s="103" t="s">
        <v>96</v>
      </c>
      <c r="P7" s="118" t="s">
        <v>95</v>
      </c>
      <c r="Q7" s="120" t="s">
        <v>99</v>
      </c>
      <c r="R7" s="122" t="s">
        <v>98</v>
      </c>
      <c r="V7" s="115" t="s">
        <v>108</v>
      </c>
      <c r="W7" s="117"/>
      <c r="X7" s="103" t="s">
        <v>96</v>
      </c>
      <c r="Y7" s="118" t="s">
        <v>95</v>
      </c>
      <c r="Z7" s="120" t="s">
        <v>99</v>
      </c>
      <c r="AA7" s="122" t="s">
        <v>98</v>
      </c>
      <c r="AE7" s="115" t="s">
        <v>107</v>
      </c>
      <c r="AF7" s="117"/>
      <c r="AG7" s="103" t="s">
        <v>96</v>
      </c>
      <c r="AH7" s="118" t="s">
        <v>95</v>
      </c>
      <c r="AI7" s="120" t="s">
        <v>99</v>
      </c>
      <c r="AJ7" s="122" t="s">
        <v>98</v>
      </c>
      <c r="AN7" s="115" t="s">
        <v>106</v>
      </c>
      <c r="AO7" s="117"/>
      <c r="AP7" s="103" t="s">
        <v>96</v>
      </c>
      <c r="AQ7" s="118" t="s">
        <v>95</v>
      </c>
      <c r="AR7" s="120" t="s">
        <v>99</v>
      </c>
      <c r="AS7" s="122" t="s">
        <v>98</v>
      </c>
      <c r="AW7" s="115" t="s">
        <v>105</v>
      </c>
      <c r="AX7" s="117"/>
      <c r="AY7" s="103" t="s">
        <v>96</v>
      </c>
      <c r="AZ7" s="118" t="s">
        <v>95</v>
      </c>
      <c r="BA7" s="120" t="s">
        <v>99</v>
      </c>
      <c r="BB7" s="122" t="s">
        <v>98</v>
      </c>
      <c r="BF7" s="115" t="s">
        <v>104</v>
      </c>
      <c r="BG7" s="117"/>
      <c r="BH7" s="103" t="s">
        <v>96</v>
      </c>
      <c r="BI7" s="118" t="s">
        <v>95</v>
      </c>
      <c r="BJ7" s="120" t="s">
        <v>99</v>
      </c>
      <c r="BK7" s="122" t="s">
        <v>98</v>
      </c>
      <c r="BO7" s="115" t="s">
        <v>103</v>
      </c>
      <c r="BP7" s="117"/>
      <c r="BQ7" s="103" t="s">
        <v>96</v>
      </c>
      <c r="BR7" s="118" t="s">
        <v>95</v>
      </c>
      <c r="BS7" s="120" t="s">
        <v>99</v>
      </c>
      <c r="BT7" s="122" t="s">
        <v>98</v>
      </c>
      <c r="BX7" s="115" t="s">
        <v>102</v>
      </c>
      <c r="BY7" s="117"/>
      <c r="BZ7" s="103" t="s">
        <v>96</v>
      </c>
      <c r="CA7" s="118" t="s">
        <v>95</v>
      </c>
      <c r="CB7" s="120" t="s">
        <v>99</v>
      </c>
      <c r="CC7" s="122" t="s">
        <v>98</v>
      </c>
      <c r="CG7" s="115" t="s">
        <v>101</v>
      </c>
      <c r="CH7" s="117"/>
      <c r="CI7" s="103" t="s">
        <v>96</v>
      </c>
      <c r="CJ7" s="118" t="s">
        <v>95</v>
      </c>
      <c r="CK7" s="120" t="s">
        <v>99</v>
      </c>
      <c r="CL7" s="122" t="s">
        <v>98</v>
      </c>
      <c r="CP7" s="115" t="s">
        <v>100</v>
      </c>
      <c r="CQ7" s="117"/>
      <c r="CR7" s="103" t="s">
        <v>96</v>
      </c>
      <c r="CS7" s="118" t="s">
        <v>95</v>
      </c>
      <c r="CT7" s="120" t="s">
        <v>99</v>
      </c>
      <c r="CU7" s="122" t="s">
        <v>98</v>
      </c>
      <c r="CY7" s="115" t="s">
        <v>97</v>
      </c>
      <c r="CZ7" s="117"/>
      <c r="DA7" s="103" t="s">
        <v>96</v>
      </c>
      <c r="DB7" s="118" t="s">
        <v>95</v>
      </c>
      <c r="DC7" s="120" t="s">
        <v>94</v>
      </c>
      <c r="DD7" s="122" t="s">
        <v>93</v>
      </c>
    </row>
    <row r="8" spans="1:108" x14ac:dyDescent="0.25">
      <c r="D8" s="46" t="s">
        <v>92</v>
      </c>
      <c r="E8" s="47" t="s">
        <v>91</v>
      </c>
      <c r="F8" s="125"/>
      <c r="G8" s="119"/>
      <c r="H8" s="121"/>
      <c r="I8" s="123"/>
      <c r="M8" s="46" t="s">
        <v>92</v>
      </c>
      <c r="N8" s="47" t="s">
        <v>91</v>
      </c>
      <c r="O8" s="104"/>
      <c r="P8" s="119"/>
      <c r="Q8" s="121"/>
      <c r="R8" s="123"/>
      <c r="V8" s="46" t="s">
        <v>92</v>
      </c>
      <c r="W8" s="47" t="s">
        <v>91</v>
      </c>
      <c r="X8" s="104"/>
      <c r="Y8" s="119"/>
      <c r="Z8" s="121"/>
      <c r="AA8" s="123"/>
      <c r="AE8" s="46" t="s">
        <v>92</v>
      </c>
      <c r="AF8" s="47" t="s">
        <v>91</v>
      </c>
      <c r="AG8" s="104"/>
      <c r="AH8" s="119"/>
      <c r="AI8" s="121"/>
      <c r="AJ8" s="123"/>
      <c r="AN8" s="46" t="s">
        <v>92</v>
      </c>
      <c r="AO8" s="47" t="s">
        <v>91</v>
      </c>
      <c r="AP8" s="104"/>
      <c r="AQ8" s="119"/>
      <c r="AR8" s="121"/>
      <c r="AS8" s="123"/>
      <c r="AW8" s="46" t="s">
        <v>92</v>
      </c>
      <c r="AX8" s="47" t="s">
        <v>91</v>
      </c>
      <c r="AY8" s="104"/>
      <c r="AZ8" s="119"/>
      <c r="BA8" s="121"/>
      <c r="BB8" s="123"/>
      <c r="BF8" s="46" t="s">
        <v>92</v>
      </c>
      <c r="BG8" s="47" t="s">
        <v>91</v>
      </c>
      <c r="BH8" s="104"/>
      <c r="BI8" s="119"/>
      <c r="BJ8" s="121"/>
      <c r="BK8" s="123"/>
      <c r="BO8" s="46" t="s">
        <v>92</v>
      </c>
      <c r="BP8" s="47" t="s">
        <v>91</v>
      </c>
      <c r="BQ8" s="104"/>
      <c r="BR8" s="119"/>
      <c r="BS8" s="121"/>
      <c r="BT8" s="123"/>
      <c r="BX8" s="46" t="s">
        <v>92</v>
      </c>
      <c r="BY8" s="47" t="s">
        <v>91</v>
      </c>
      <c r="BZ8" s="104"/>
      <c r="CA8" s="119"/>
      <c r="CB8" s="121"/>
      <c r="CC8" s="123"/>
      <c r="CG8" s="46" t="s">
        <v>92</v>
      </c>
      <c r="CH8" s="47" t="s">
        <v>91</v>
      </c>
      <c r="CI8" s="104"/>
      <c r="CJ8" s="119"/>
      <c r="CK8" s="121"/>
      <c r="CL8" s="123"/>
      <c r="CP8" s="46" t="s">
        <v>92</v>
      </c>
      <c r="CQ8" s="47" t="s">
        <v>91</v>
      </c>
      <c r="CR8" s="104"/>
      <c r="CS8" s="119"/>
      <c r="CT8" s="121"/>
      <c r="CU8" s="123"/>
      <c r="CY8" s="46" t="s">
        <v>92</v>
      </c>
      <c r="CZ8" s="47" t="s">
        <v>91</v>
      </c>
      <c r="DA8" s="104"/>
      <c r="DB8" s="119"/>
      <c r="DC8" s="121"/>
      <c r="DD8" s="123"/>
    </row>
    <row r="9" spans="1:108" x14ac:dyDescent="0.25">
      <c r="D9" s="41" t="s">
        <v>89</v>
      </c>
      <c r="E9" s="42" t="s">
        <v>89</v>
      </c>
      <c r="F9" s="43"/>
      <c r="G9" s="44">
        <f>SUM(G10:G1048576)</f>
        <v>5718</v>
      </c>
      <c r="H9" s="44">
        <f>SUM(H10:H1048576)</f>
        <v>5718</v>
      </c>
      <c r="I9" s="45" t="s">
        <v>90</v>
      </c>
      <c r="M9" s="41" t="s">
        <v>89</v>
      </c>
      <c r="N9" s="42" t="s">
        <v>89</v>
      </c>
      <c r="O9" s="43"/>
      <c r="P9" s="44">
        <f>SUM(P10:P1048576)</f>
        <v>0</v>
      </c>
      <c r="Q9" s="44">
        <f>SUM(Q10:Q1048576)</f>
        <v>0</v>
      </c>
      <c r="R9" s="45" t="s">
        <v>90</v>
      </c>
      <c r="V9" s="41" t="s">
        <v>89</v>
      </c>
      <c r="W9" s="42" t="s">
        <v>89</v>
      </c>
      <c r="X9" s="43"/>
      <c r="Y9" s="44">
        <f>SUM(Y10:Y1048576)</f>
        <v>0</v>
      </c>
      <c r="Z9" s="44">
        <f>SUM(Z10:Z1048576)</f>
        <v>0</v>
      </c>
      <c r="AA9" s="45" t="s">
        <v>90</v>
      </c>
      <c r="AE9" s="41" t="s">
        <v>89</v>
      </c>
      <c r="AF9" s="42" t="s">
        <v>89</v>
      </c>
      <c r="AG9" s="43"/>
      <c r="AH9" s="44">
        <f>SUM(AH10:AH1048576)</f>
        <v>0</v>
      </c>
      <c r="AI9" s="44">
        <f>SUM(AI10:AI1048576)</f>
        <v>0</v>
      </c>
      <c r="AJ9" s="45" t="s">
        <v>90</v>
      </c>
      <c r="AN9" s="41" t="s">
        <v>89</v>
      </c>
      <c r="AO9" s="42" t="s">
        <v>89</v>
      </c>
      <c r="AP9" s="43"/>
      <c r="AQ9" s="44">
        <f>SUM(AQ10:AQ1048576)</f>
        <v>0</v>
      </c>
      <c r="AR9" s="44">
        <f>SUM(AR10:AR1048576)</f>
        <v>0</v>
      </c>
      <c r="AS9" s="45" t="s">
        <v>90</v>
      </c>
      <c r="AW9" s="41" t="s">
        <v>89</v>
      </c>
      <c r="AX9" s="42" t="s">
        <v>89</v>
      </c>
      <c r="AY9" s="43"/>
      <c r="AZ9" s="44">
        <f>SUM(AZ10:AZ1048576)</f>
        <v>0</v>
      </c>
      <c r="BA9" s="44">
        <f>SUM(BA10:BA1048576)</f>
        <v>0</v>
      </c>
      <c r="BB9" s="45" t="s">
        <v>90</v>
      </c>
      <c r="BF9" s="41" t="s">
        <v>89</v>
      </c>
      <c r="BG9" s="42" t="s">
        <v>89</v>
      </c>
      <c r="BH9" s="43"/>
      <c r="BI9" s="44">
        <f>SUM(BI10:BI1048576)</f>
        <v>0</v>
      </c>
      <c r="BJ9" s="44">
        <f>SUM(BJ10:BJ1048576)</f>
        <v>0</v>
      </c>
      <c r="BK9" s="45" t="s">
        <v>90</v>
      </c>
      <c r="BO9" s="41" t="s">
        <v>89</v>
      </c>
      <c r="BP9" s="42" t="s">
        <v>89</v>
      </c>
      <c r="BQ9" s="43"/>
      <c r="BR9" s="44">
        <f>SUM(BR10:BR1048576)</f>
        <v>0</v>
      </c>
      <c r="BS9" s="44">
        <f>SUM(BS10:BS1048576)</f>
        <v>0</v>
      </c>
      <c r="BT9" s="45" t="s">
        <v>90</v>
      </c>
      <c r="BX9" s="41" t="s">
        <v>89</v>
      </c>
      <c r="BY9" s="42" t="s">
        <v>89</v>
      </c>
      <c r="BZ9" s="43"/>
      <c r="CA9" s="44">
        <f>SUM(CA10:CA1048576)</f>
        <v>0</v>
      </c>
      <c r="CB9" s="44">
        <f>SUM(CB10:CB1048576)</f>
        <v>0</v>
      </c>
      <c r="CC9" s="45" t="s">
        <v>90</v>
      </c>
      <c r="CG9" s="41" t="s">
        <v>89</v>
      </c>
      <c r="CH9" s="42" t="s">
        <v>89</v>
      </c>
      <c r="CI9" s="43"/>
      <c r="CJ9" s="44">
        <f>SUM(CJ10:CJ1048576)</f>
        <v>0</v>
      </c>
      <c r="CK9" s="44">
        <f>SUM(CK10:CK1048576)</f>
        <v>0</v>
      </c>
      <c r="CL9" s="45" t="s">
        <v>90</v>
      </c>
      <c r="CP9" s="41" t="s">
        <v>89</v>
      </c>
      <c r="CQ9" s="42" t="s">
        <v>89</v>
      </c>
      <c r="CR9" s="43"/>
      <c r="CS9" s="44">
        <f>SUM(CS10:CS1048576)</f>
        <v>0</v>
      </c>
      <c r="CT9" s="44">
        <f>SUM(CT10:CT1048576)</f>
        <v>0</v>
      </c>
      <c r="CU9" s="45" t="s">
        <v>90</v>
      </c>
      <c r="CY9" s="41" t="s">
        <v>89</v>
      </c>
      <c r="CZ9" s="42" t="s">
        <v>89</v>
      </c>
      <c r="DA9" s="43"/>
      <c r="DB9" s="44">
        <f>SUM(DB10:DB1048576)</f>
        <v>0</v>
      </c>
      <c r="DC9" s="44">
        <f>SUM(DC10:DC1048576)</f>
        <v>0</v>
      </c>
      <c r="DD9" s="45" t="s">
        <v>88</v>
      </c>
    </row>
    <row r="10" spans="1:108" ht="16.5" thickBot="1" x14ac:dyDescent="0.3">
      <c r="D10" s="68">
        <v>1</v>
      </c>
      <c r="E10" s="80">
        <v>2</v>
      </c>
      <c r="F10" s="69" t="s">
        <v>163</v>
      </c>
      <c r="G10" s="48">
        <f>60+17</f>
        <v>77</v>
      </c>
      <c r="H10" s="48"/>
      <c r="I10" s="70"/>
      <c r="M10" s="68"/>
      <c r="N10" s="80"/>
      <c r="O10" s="69"/>
      <c r="P10" s="48"/>
      <c r="Q10" s="48"/>
      <c r="R10" s="70"/>
      <c r="V10" s="65"/>
      <c r="W10" s="81"/>
      <c r="X10" s="66"/>
      <c r="Y10" s="12"/>
      <c r="Z10" s="12"/>
      <c r="AA10" s="67"/>
      <c r="AE10" s="3"/>
      <c r="AF10" s="3"/>
      <c r="AH10" s="3"/>
      <c r="AI10" s="3"/>
      <c r="AJ10" s="3"/>
      <c r="AN10" s="3"/>
      <c r="AO10" s="3"/>
      <c r="AQ10" s="3"/>
      <c r="AR10" s="3"/>
      <c r="AW10" s="3"/>
      <c r="AX10" s="3"/>
      <c r="AZ10" s="3"/>
      <c r="BA10" s="3"/>
      <c r="BF10" s="3"/>
      <c r="BG10" s="3"/>
      <c r="BI10" s="3"/>
      <c r="BJ10" s="3"/>
      <c r="BO10" s="3"/>
      <c r="BP10" s="3"/>
      <c r="BR10" s="3"/>
      <c r="BS10" s="3"/>
      <c r="BX10" s="3"/>
      <c r="BY10" s="3"/>
      <c r="CA10" s="3"/>
      <c r="CB10" s="3"/>
      <c r="CC10" s="3"/>
      <c r="CG10" s="3"/>
      <c r="CH10" s="3"/>
      <c r="CJ10" s="3"/>
      <c r="CK10" s="3"/>
      <c r="CP10" s="3"/>
      <c r="CQ10" s="3"/>
      <c r="CS10" s="3"/>
      <c r="CT10" s="3"/>
      <c r="CY10" s="3"/>
      <c r="CZ10" s="3"/>
      <c r="DB10" s="3"/>
      <c r="DC10" s="3"/>
    </row>
    <row r="11" spans="1:108" ht="18" thickTop="1" thickBot="1" x14ac:dyDescent="0.3">
      <c r="D11" s="68"/>
      <c r="E11" s="80"/>
      <c r="F11" s="69" t="s">
        <v>165</v>
      </c>
      <c r="G11" s="48">
        <v>32</v>
      </c>
      <c r="H11" s="48"/>
      <c r="I11" s="70"/>
      <c r="M11" s="65"/>
      <c r="N11" s="81"/>
      <c r="O11" s="66"/>
      <c r="P11" s="12"/>
      <c r="Q11" s="12"/>
      <c r="R11" s="67"/>
      <c r="V11"/>
      <c r="W11"/>
      <c r="X11"/>
      <c r="Y11"/>
      <c r="Z11"/>
      <c r="AA11"/>
      <c r="AE11" s="3"/>
      <c r="AF11" s="3"/>
      <c r="AH11" s="3"/>
      <c r="AI11" s="3"/>
      <c r="AJ11" s="3"/>
      <c r="AN11" s="3"/>
      <c r="AO11" s="3"/>
      <c r="AQ11" s="3"/>
      <c r="AR11" s="3"/>
      <c r="AW11" s="3"/>
      <c r="AX11" s="3"/>
      <c r="AZ11" s="3"/>
      <c r="BA11" s="3"/>
      <c r="BF11" s="3"/>
      <c r="BG11" s="3"/>
      <c r="BI11" s="3"/>
      <c r="BJ11" s="3"/>
      <c r="BO11" s="3"/>
      <c r="BP11" s="3"/>
      <c r="BR11" s="3"/>
      <c r="BS11" s="3"/>
      <c r="BX11" s="3"/>
      <c r="BY11" s="3"/>
      <c r="CA11" s="3"/>
      <c r="CB11" s="3"/>
      <c r="CC11" s="3"/>
      <c r="CG11" s="3"/>
      <c r="CH11" s="3"/>
      <c r="CJ11" s="3"/>
      <c r="CK11" s="3"/>
      <c r="CP11" s="3"/>
      <c r="CQ11" s="3"/>
      <c r="CS11" s="3"/>
      <c r="CT11" s="3"/>
      <c r="CY11" s="3"/>
      <c r="CZ11" s="3"/>
      <c r="DB11" s="3"/>
      <c r="DC11" s="3"/>
    </row>
    <row r="12" spans="1:108" ht="17.25" thickTop="1" x14ac:dyDescent="0.25">
      <c r="D12" s="68"/>
      <c r="E12" s="80"/>
      <c r="F12" s="69" t="s">
        <v>166</v>
      </c>
      <c r="G12" s="48"/>
      <c r="H12" s="48">
        <v>100</v>
      </c>
      <c r="I12" s="70"/>
      <c r="M12" s="40" t="s">
        <v>14</v>
      </c>
      <c r="N12"/>
      <c r="O12"/>
      <c r="P12"/>
      <c r="Q12"/>
      <c r="R12"/>
      <c r="V12"/>
      <c r="W12"/>
      <c r="X12"/>
      <c r="Y12"/>
      <c r="Z12"/>
      <c r="AA12"/>
      <c r="AE12" s="3"/>
      <c r="AF12" s="3"/>
      <c r="AH12" s="3"/>
      <c r="AI12" s="3"/>
      <c r="AJ12" s="3"/>
      <c r="AN12" s="3"/>
      <c r="AO12" s="3"/>
      <c r="AQ12" s="3"/>
      <c r="AR12" s="3"/>
      <c r="AW12" s="3"/>
      <c r="AX12" s="3"/>
      <c r="AZ12" s="3"/>
      <c r="BA12" s="3"/>
      <c r="BF12" s="3"/>
      <c r="BG12" s="3"/>
      <c r="BI12" s="3"/>
      <c r="BJ12" s="3"/>
      <c r="BO12" s="3"/>
      <c r="BP12" s="3"/>
      <c r="BR12" s="3"/>
      <c r="BS12" s="3"/>
      <c r="BX12" s="3"/>
      <c r="BY12" s="3"/>
      <c r="CA12" s="3"/>
      <c r="CB12" s="3"/>
      <c r="CC12" s="3"/>
      <c r="CG12" s="3"/>
      <c r="CH12" s="3"/>
      <c r="CJ12" s="3"/>
      <c r="CK12" s="3"/>
      <c r="CP12" s="3"/>
      <c r="CQ12" s="3"/>
      <c r="CS12" s="3"/>
      <c r="CT12" s="3"/>
      <c r="CY12" s="3"/>
      <c r="CZ12" s="3"/>
      <c r="DB12" s="3"/>
      <c r="DC12" s="3"/>
    </row>
    <row r="13" spans="1:108" ht="16.5" x14ac:dyDescent="0.25">
      <c r="D13" s="68"/>
      <c r="E13" s="80"/>
      <c r="F13" s="69" t="s">
        <v>164</v>
      </c>
      <c r="G13" s="48"/>
      <c r="H13" s="48">
        <v>9</v>
      </c>
      <c r="I13" s="70"/>
      <c r="M13"/>
      <c r="N13"/>
      <c r="O13"/>
      <c r="P13"/>
      <c r="Q13"/>
      <c r="R13"/>
      <c r="V13" s="3"/>
      <c r="W13" s="40"/>
      <c r="Y13" s="3"/>
      <c r="Z13" s="3"/>
      <c r="AA13" s="3"/>
      <c r="AE13" s="3"/>
      <c r="AF13" s="3"/>
      <c r="AH13" s="3"/>
      <c r="AI13" s="3"/>
      <c r="AJ13" s="3"/>
      <c r="AN13" s="3"/>
      <c r="AO13" s="3"/>
      <c r="AQ13" s="3"/>
      <c r="AR13" s="3"/>
      <c r="AW13" s="3"/>
      <c r="AX13" s="3"/>
      <c r="AZ13" s="3"/>
      <c r="BA13" s="3"/>
      <c r="BF13" s="3"/>
      <c r="BG13" s="3"/>
      <c r="BI13" s="3"/>
      <c r="BJ13" s="3"/>
      <c r="BO13" s="3"/>
      <c r="BP13" s="3"/>
      <c r="BR13" s="3"/>
      <c r="BS13" s="3"/>
      <c r="BX13" s="3"/>
      <c r="BY13" s="3"/>
      <c r="CA13" s="3"/>
      <c r="CB13" s="3"/>
      <c r="CC13" s="3"/>
      <c r="CG13" s="3"/>
      <c r="CH13" s="3"/>
      <c r="CJ13" s="3"/>
      <c r="CK13" s="3"/>
      <c r="CP13" s="3"/>
      <c r="CQ13" s="3"/>
      <c r="CS13" s="3"/>
      <c r="CT13" s="3"/>
      <c r="CY13" s="3"/>
      <c r="CZ13" s="3"/>
      <c r="DB13" s="3"/>
      <c r="DC13" s="3"/>
    </row>
    <row r="14" spans="1:108" ht="16.5" x14ac:dyDescent="0.25">
      <c r="D14" s="68"/>
      <c r="E14" s="98" t="s">
        <v>87</v>
      </c>
      <c r="F14" s="69" t="s">
        <v>167</v>
      </c>
      <c r="G14" s="48">
        <v>116</v>
      </c>
      <c r="H14" s="48"/>
      <c r="I14" s="70"/>
      <c r="M14"/>
      <c r="N14"/>
      <c r="O14"/>
      <c r="P14"/>
      <c r="Q14"/>
      <c r="R14"/>
      <c r="V14" s="3"/>
      <c r="W14" s="40"/>
      <c r="Y14" s="3"/>
      <c r="Z14" s="3"/>
      <c r="AA14" s="3"/>
      <c r="AE14" s="3"/>
      <c r="AF14" s="3"/>
      <c r="AH14" s="3"/>
      <c r="AI14" s="3"/>
      <c r="AJ14" s="3"/>
      <c r="AN14" s="3"/>
      <c r="AO14" s="3"/>
      <c r="AQ14" s="3"/>
      <c r="AR14" s="3"/>
      <c r="AW14" s="3"/>
      <c r="AX14" s="3"/>
      <c r="AZ14" s="3"/>
      <c r="BA14" s="3"/>
      <c r="BF14" s="3"/>
      <c r="BG14" s="3"/>
      <c r="BI14" s="3"/>
      <c r="BJ14" s="3"/>
      <c r="BO14" s="3"/>
      <c r="BP14" s="3"/>
      <c r="BR14" s="3"/>
      <c r="BS14" s="3"/>
      <c r="BX14" s="3"/>
      <c r="BY14" s="3"/>
      <c r="CA14" s="3"/>
      <c r="CB14" s="3"/>
      <c r="CC14" s="3"/>
      <c r="CG14" s="3"/>
      <c r="CH14" s="3"/>
      <c r="CJ14" s="3"/>
      <c r="CK14" s="3"/>
      <c r="CP14" s="3"/>
      <c r="CQ14" s="3"/>
      <c r="CS14" s="3"/>
      <c r="CT14" s="3"/>
      <c r="CY14" s="3"/>
      <c r="CZ14" s="3"/>
      <c r="DB14" s="3"/>
      <c r="DC14" s="3"/>
    </row>
    <row r="15" spans="1:108" ht="16.5" x14ac:dyDescent="0.25">
      <c r="D15" s="68"/>
      <c r="E15" s="80"/>
      <c r="F15" s="69" t="s">
        <v>168</v>
      </c>
      <c r="G15" s="48"/>
      <c r="H15" s="48">
        <v>116</v>
      </c>
      <c r="I15" s="70"/>
      <c r="M15"/>
      <c r="N15"/>
      <c r="O15"/>
      <c r="P15"/>
      <c r="Q15"/>
      <c r="R15"/>
      <c r="V15" s="3"/>
      <c r="W15" s="40"/>
      <c r="Y15" s="3"/>
      <c r="Z15" s="3"/>
      <c r="AA15" s="3"/>
      <c r="AE15" s="3"/>
      <c r="AF15" s="3"/>
      <c r="AH15" s="3"/>
      <c r="AI15" s="3"/>
      <c r="AJ15" s="3"/>
      <c r="AN15" s="3"/>
      <c r="AO15" s="3"/>
      <c r="AQ15" s="3"/>
      <c r="AR15" s="3"/>
      <c r="AW15" s="3"/>
      <c r="AX15" s="3"/>
      <c r="AZ15" s="3"/>
      <c r="BA15" s="3"/>
      <c r="BF15" s="3"/>
      <c r="BG15" s="3"/>
      <c r="BI15" s="3"/>
      <c r="BJ15" s="3"/>
      <c r="BO15" s="3"/>
      <c r="BP15" s="3"/>
      <c r="BR15" s="3"/>
      <c r="BS15" s="3"/>
      <c r="BX15" s="3"/>
      <c r="BY15" s="3"/>
      <c r="CA15" s="3"/>
      <c r="CB15" s="3"/>
      <c r="CC15" s="3"/>
      <c r="CG15" s="3"/>
      <c r="CH15" s="3"/>
      <c r="CJ15" s="3"/>
      <c r="CK15" s="3"/>
      <c r="CP15" s="3"/>
      <c r="CQ15" s="3"/>
      <c r="CS15" s="3"/>
      <c r="CT15" s="3"/>
      <c r="CY15" s="3"/>
      <c r="CZ15" s="3"/>
      <c r="DB15" s="3"/>
      <c r="DC15" s="3"/>
    </row>
    <row r="16" spans="1:108" ht="16.5" x14ac:dyDescent="0.25">
      <c r="D16" s="68"/>
      <c r="E16" s="98" t="s">
        <v>87</v>
      </c>
      <c r="F16" s="69" t="s">
        <v>169</v>
      </c>
      <c r="G16" s="48">
        <v>116</v>
      </c>
      <c r="H16" s="48"/>
      <c r="I16" s="70"/>
      <c r="M16"/>
      <c r="N16"/>
      <c r="O16"/>
      <c r="P16"/>
      <c r="Q16"/>
      <c r="R16"/>
      <c r="V16" s="3"/>
      <c r="W16" s="40"/>
      <c r="Y16" s="3"/>
      <c r="Z16" s="3"/>
      <c r="AA16" s="3"/>
      <c r="AE16" s="3"/>
      <c r="AF16" s="3"/>
      <c r="AH16" s="3"/>
      <c r="AI16" s="3"/>
      <c r="AJ16" s="3"/>
      <c r="AN16" s="3"/>
      <c r="AO16" s="3"/>
      <c r="AQ16" s="3"/>
      <c r="AR16" s="3"/>
      <c r="AW16" s="3"/>
      <c r="AX16" s="3"/>
      <c r="AZ16" s="3"/>
      <c r="BA16" s="3"/>
      <c r="BF16" s="3"/>
      <c r="BG16" s="3"/>
      <c r="BI16" s="3"/>
      <c r="BJ16" s="3"/>
      <c r="BO16" s="3"/>
      <c r="BP16" s="3"/>
      <c r="BR16" s="3"/>
      <c r="BS16" s="3"/>
      <c r="BX16" s="3"/>
      <c r="BY16" s="3"/>
      <c r="CA16" s="3"/>
      <c r="CB16" s="3"/>
      <c r="CC16" s="3"/>
      <c r="CG16" s="3"/>
      <c r="CH16" s="3"/>
      <c r="CJ16" s="3"/>
      <c r="CK16" s="3"/>
      <c r="CP16" s="3"/>
      <c r="CQ16" s="3"/>
      <c r="CS16" s="3"/>
      <c r="CT16" s="3"/>
      <c r="CY16" s="3"/>
      <c r="CZ16" s="3"/>
      <c r="DB16" s="3"/>
      <c r="DC16" s="3"/>
    </row>
    <row r="17" spans="4:107" ht="16.5" x14ac:dyDescent="0.25">
      <c r="D17" s="68"/>
      <c r="E17" s="80"/>
      <c r="F17" s="69" t="s">
        <v>171</v>
      </c>
      <c r="G17" s="48">
        <v>9</v>
      </c>
      <c r="H17" s="48"/>
      <c r="I17" s="70"/>
      <c r="M17"/>
      <c r="N17"/>
      <c r="O17"/>
      <c r="P17"/>
      <c r="Q17"/>
      <c r="R17"/>
      <c r="V17" s="3"/>
      <c r="W17" s="40"/>
      <c r="Y17" s="3"/>
      <c r="Z17" s="3"/>
      <c r="AA17" s="3"/>
      <c r="AE17" s="3"/>
      <c r="AF17" s="3"/>
      <c r="AH17" s="3"/>
      <c r="AI17" s="3"/>
      <c r="AJ17" s="3"/>
      <c r="AN17" s="3"/>
      <c r="AO17" s="3"/>
      <c r="AQ17" s="3"/>
      <c r="AR17" s="3"/>
      <c r="AW17" s="3"/>
      <c r="AX17" s="3"/>
      <c r="AZ17" s="3"/>
      <c r="BA17" s="3"/>
      <c r="BF17" s="3"/>
      <c r="BG17" s="3"/>
      <c r="BI17" s="3"/>
      <c r="BJ17" s="3"/>
      <c r="BO17" s="3"/>
      <c r="BP17" s="3"/>
      <c r="BR17" s="3"/>
      <c r="BS17" s="3"/>
      <c r="BX17" s="3"/>
      <c r="BY17" s="3"/>
      <c r="CA17" s="3"/>
      <c r="CB17" s="3"/>
      <c r="CC17" s="3"/>
      <c r="CG17" s="3"/>
      <c r="CH17" s="3"/>
      <c r="CJ17" s="3"/>
      <c r="CK17" s="3"/>
      <c r="CP17" s="3"/>
      <c r="CQ17" s="3"/>
      <c r="CS17" s="3"/>
      <c r="CT17" s="3"/>
      <c r="CY17" s="3"/>
      <c r="CZ17" s="3"/>
      <c r="DB17" s="3"/>
      <c r="DC17" s="3"/>
    </row>
    <row r="18" spans="4:107" ht="16.5" x14ac:dyDescent="0.25">
      <c r="D18" s="68"/>
      <c r="E18" s="80"/>
      <c r="F18" s="69" t="s">
        <v>172</v>
      </c>
      <c r="G18" s="48">
        <v>100</v>
      </c>
      <c r="H18" s="48"/>
      <c r="I18" s="70"/>
      <c r="M18"/>
      <c r="N18"/>
      <c r="O18"/>
      <c r="P18"/>
      <c r="Q18"/>
      <c r="R18"/>
      <c r="V18" s="3"/>
      <c r="W18" s="40"/>
      <c r="Y18" s="3"/>
      <c r="Z18" s="3"/>
      <c r="AA18" s="3"/>
      <c r="AE18" s="3"/>
      <c r="AF18" s="3"/>
      <c r="AH18" s="3"/>
      <c r="AI18" s="3"/>
      <c r="AJ18" s="3"/>
      <c r="AN18" s="3"/>
      <c r="AO18" s="3"/>
      <c r="AQ18" s="3"/>
      <c r="AR18" s="3"/>
      <c r="AW18" s="3"/>
      <c r="AX18" s="3"/>
      <c r="AZ18" s="3"/>
      <c r="BA18" s="3"/>
      <c r="BF18" s="3"/>
      <c r="BG18" s="3"/>
      <c r="BI18" s="3"/>
      <c r="BJ18" s="3"/>
      <c r="BO18" s="3"/>
      <c r="BP18" s="3"/>
      <c r="BR18" s="3"/>
      <c r="BS18" s="3"/>
      <c r="BX18" s="3"/>
      <c r="BY18" s="3"/>
      <c r="CA18" s="3"/>
      <c r="CB18" s="3"/>
      <c r="CC18" s="3"/>
      <c r="CG18" s="3"/>
      <c r="CH18" s="3"/>
      <c r="CJ18" s="3"/>
      <c r="CK18" s="3"/>
      <c r="CP18" s="3"/>
      <c r="CQ18" s="3"/>
      <c r="CS18" s="3"/>
      <c r="CT18" s="3"/>
      <c r="CY18" s="3"/>
      <c r="CZ18" s="3"/>
      <c r="DB18" s="3"/>
      <c r="DC18" s="3"/>
    </row>
    <row r="19" spans="4:107" ht="16.5" x14ac:dyDescent="0.25">
      <c r="D19" s="68"/>
      <c r="E19" s="80"/>
      <c r="F19" s="69" t="s">
        <v>170</v>
      </c>
      <c r="G19" s="48"/>
      <c r="H19" s="48">
        <v>225</v>
      </c>
      <c r="I19" s="70"/>
      <c r="M19"/>
      <c r="N19"/>
      <c r="O19"/>
      <c r="P19"/>
      <c r="Q19"/>
      <c r="R19"/>
      <c r="V19" s="3"/>
      <c r="W19" s="40"/>
      <c r="Y19" s="3"/>
      <c r="Z19" s="3"/>
      <c r="AA19" s="3"/>
      <c r="AE19" s="3"/>
      <c r="AF19" s="3"/>
      <c r="AH19" s="3"/>
      <c r="AI19" s="3"/>
      <c r="AJ19" s="3"/>
      <c r="AN19" s="3"/>
      <c r="AO19" s="3"/>
      <c r="AQ19" s="3"/>
      <c r="AR19" s="3"/>
      <c r="AW19" s="3"/>
      <c r="AX19" s="3"/>
      <c r="AZ19" s="3"/>
      <c r="BA19" s="3"/>
      <c r="BF19" s="3"/>
      <c r="BG19" s="3"/>
      <c r="BI19" s="3"/>
      <c r="BJ19" s="3"/>
      <c r="BO19" s="3"/>
      <c r="BP19" s="3"/>
      <c r="BR19" s="3"/>
      <c r="BS19" s="3"/>
      <c r="BX19" s="3"/>
      <c r="BY19" s="3"/>
      <c r="CA19" s="3"/>
      <c r="CB19" s="3"/>
      <c r="CC19" s="3"/>
      <c r="CG19" s="3"/>
      <c r="CH19" s="3"/>
      <c r="CJ19" s="3"/>
      <c r="CK19" s="3"/>
      <c r="CP19" s="3"/>
      <c r="CQ19" s="3"/>
      <c r="CS19" s="3"/>
      <c r="CT19" s="3"/>
      <c r="CY19" s="3"/>
      <c r="CZ19" s="3"/>
      <c r="DB19" s="3"/>
      <c r="DC19" s="3"/>
    </row>
    <row r="20" spans="4:107" ht="16.5" x14ac:dyDescent="0.25">
      <c r="D20" s="68">
        <v>1</v>
      </c>
      <c r="E20" s="80">
        <v>3</v>
      </c>
      <c r="F20" s="69" t="s">
        <v>46</v>
      </c>
      <c r="G20" s="48">
        <v>116</v>
      </c>
      <c r="H20" s="48"/>
      <c r="I20" s="70"/>
      <c r="M20"/>
      <c r="N20"/>
      <c r="O20"/>
      <c r="P20"/>
      <c r="Q20"/>
      <c r="R20"/>
      <c r="V20" s="3"/>
      <c r="W20" s="40"/>
      <c r="Y20" s="3"/>
      <c r="Z20" s="3"/>
      <c r="AA20" s="3"/>
      <c r="AE20" s="3"/>
      <c r="AF20" s="3"/>
      <c r="AH20" s="3"/>
      <c r="AI20" s="3"/>
      <c r="AJ20" s="3"/>
      <c r="AN20" s="3"/>
      <c r="AO20" s="3"/>
      <c r="AQ20" s="3"/>
      <c r="AR20" s="3"/>
      <c r="AW20" s="3"/>
      <c r="AX20" s="3"/>
      <c r="AZ20" s="3"/>
      <c r="BA20" s="3"/>
      <c r="BF20" s="3"/>
      <c r="BG20" s="3"/>
      <c r="BI20" s="3"/>
      <c r="BJ20" s="3"/>
      <c r="BO20" s="3"/>
      <c r="BP20" s="3"/>
      <c r="BR20" s="3"/>
      <c r="BS20" s="3"/>
      <c r="BX20" s="3"/>
      <c r="BY20" s="3"/>
      <c r="CA20" s="3"/>
      <c r="CB20" s="3"/>
      <c r="CC20" s="3"/>
      <c r="CG20" s="3"/>
      <c r="CH20" s="3"/>
      <c r="CJ20" s="3"/>
      <c r="CK20" s="3"/>
      <c r="CP20" s="3"/>
      <c r="CQ20" s="3"/>
      <c r="CS20" s="3"/>
      <c r="CT20" s="3"/>
      <c r="CY20" s="3"/>
      <c r="CZ20" s="3"/>
      <c r="DB20" s="3"/>
      <c r="DC20" s="3"/>
    </row>
    <row r="21" spans="4:107" ht="16.5" x14ac:dyDescent="0.25">
      <c r="D21" s="68"/>
      <c r="E21" s="80"/>
      <c r="F21" s="69" t="s">
        <v>168</v>
      </c>
      <c r="G21" s="48"/>
      <c r="H21" s="48">
        <v>116</v>
      </c>
      <c r="I21" s="70"/>
      <c r="M21"/>
      <c r="N21"/>
      <c r="O21"/>
      <c r="P21"/>
      <c r="Q21"/>
      <c r="R21"/>
      <c r="V21" s="3"/>
      <c r="W21" s="40"/>
      <c r="Y21" s="3"/>
      <c r="Z21" s="3"/>
      <c r="AA21" s="3"/>
      <c r="AE21" s="3"/>
      <c r="AF21" s="3"/>
      <c r="AH21" s="3"/>
      <c r="AI21" s="3"/>
      <c r="AJ21" s="3"/>
      <c r="AN21" s="3"/>
      <c r="AO21" s="3"/>
      <c r="AQ21" s="3"/>
      <c r="AR21" s="3"/>
      <c r="AW21" s="3"/>
      <c r="AX21" s="3"/>
      <c r="AZ21" s="3"/>
      <c r="BA21" s="3"/>
      <c r="BF21" s="3"/>
      <c r="BG21" s="3"/>
      <c r="BI21" s="3"/>
      <c r="BJ21" s="3"/>
      <c r="BO21" s="3"/>
      <c r="BP21" s="3"/>
      <c r="BR21" s="3"/>
      <c r="BS21" s="3"/>
      <c r="BX21" s="3"/>
      <c r="BY21" s="3"/>
      <c r="CA21" s="3"/>
      <c r="CB21" s="3"/>
      <c r="CC21" s="3"/>
      <c r="CG21" s="3"/>
      <c r="CH21" s="3"/>
      <c r="CJ21" s="3"/>
      <c r="CK21" s="3"/>
      <c r="CP21" s="3"/>
      <c r="CQ21" s="3"/>
      <c r="CS21" s="3"/>
      <c r="CT21" s="3"/>
      <c r="CY21" s="3"/>
      <c r="CZ21" s="3"/>
      <c r="DB21" s="3"/>
      <c r="DC21" s="3"/>
    </row>
    <row r="22" spans="4:107" ht="16.5" x14ac:dyDescent="0.25">
      <c r="D22" s="68"/>
      <c r="E22" s="98" t="s">
        <v>87</v>
      </c>
      <c r="F22" s="69" t="s">
        <v>173</v>
      </c>
      <c r="G22" s="48">
        <f>70+70</f>
        <v>140</v>
      </c>
      <c r="H22" s="48"/>
      <c r="I22" s="70"/>
      <c r="M22"/>
      <c r="N22"/>
      <c r="O22"/>
      <c r="P22"/>
      <c r="Q22"/>
      <c r="R22"/>
      <c r="V22" s="3"/>
      <c r="W22" s="40"/>
      <c r="Y22" s="3"/>
      <c r="Z22" s="3"/>
      <c r="AA22" s="3"/>
      <c r="AE22" s="3"/>
      <c r="AF22" s="3"/>
      <c r="AH22" s="3"/>
      <c r="AI22" s="3"/>
      <c r="AJ22" s="3"/>
      <c r="AN22" s="3"/>
      <c r="AO22" s="3"/>
      <c r="AQ22" s="3"/>
      <c r="AR22" s="3"/>
      <c r="AW22" s="3"/>
      <c r="AX22" s="3"/>
      <c r="AZ22" s="3"/>
      <c r="BA22" s="3"/>
      <c r="BF22" s="3"/>
      <c r="BG22" s="3"/>
      <c r="BI22" s="3"/>
      <c r="BJ22" s="3"/>
      <c r="BO22" s="3"/>
      <c r="BP22" s="3"/>
      <c r="BR22" s="3"/>
      <c r="BS22" s="3"/>
      <c r="BX22" s="3"/>
      <c r="BY22" s="3"/>
      <c r="CA22" s="3"/>
      <c r="CB22" s="3"/>
      <c r="CC22" s="3"/>
      <c r="CG22" s="3"/>
      <c r="CH22" s="3"/>
      <c r="CJ22" s="3"/>
      <c r="CK22" s="3"/>
      <c r="CP22" s="3"/>
      <c r="CQ22" s="3"/>
      <c r="CS22" s="3"/>
      <c r="CT22" s="3"/>
      <c r="CY22" s="3"/>
      <c r="CZ22" s="3"/>
      <c r="DB22" s="3"/>
      <c r="DC22" s="3"/>
    </row>
    <row r="23" spans="4:107" ht="16.5" x14ac:dyDescent="0.25">
      <c r="D23" s="68"/>
      <c r="E23" s="80"/>
      <c r="F23" s="69" t="s">
        <v>174</v>
      </c>
      <c r="G23" s="48"/>
      <c r="H23" s="48">
        <v>140</v>
      </c>
      <c r="I23" s="70"/>
      <c r="M23"/>
      <c r="N23"/>
      <c r="O23"/>
      <c r="P23"/>
      <c r="Q23"/>
      <c r="R23"/>
      <c r="V23" s="3"/>
      <c r="W23" s="40"/>
      <c r="Y23" s="3"/>
      <c r="Z23" s="3"/>
      <c r="AA23" s="3"/>
      <c r="AE23" s="3"/>
      <c r="AF23" s="3"/>
      <c r="AH23" s="3"/>
      <c r="AI23" s="3"/>
      <c r="AJ23" s="3"/>
      <c r="AN23" s="3"/>
      <c r="AO23" s="3"/>
      <c r="AQ23" s="3"/>
      <c r="AR23" s="3"/>
      <c r="AW23" s="3"/>
      <c r="AX23" s="3"/>
      <c r="AZ23" s="3"/>
      <c r="BA23" s="3"/>
      <c r="BF23" s="3"/>
      <c r="BG23" s="3"/>
      <c r="BI23" s="3"/>
      <c r="BJ23" s="3"/>
      <c r="BO23" s="3"/>
      <c r="BP23" s="3"/>
      <c r="BR23" s="3"/>
      <c r="BS23" s="3"/>
      <c r="BX23" s="3"/>
      <c r="BY23" s="3"/>
      <c r="CA23" s="3"/>
      <c r="CB23" s="3"/>
      <c r="CC23" s="3"/>
      <c r="CG23" s="3"/>
      <c r="CH23" s="3"/>
      <c r="CJ23" s="3"/>
      <c r="CK23" s="3"/>
      <c r="CP23" s="3"/>
      <c r="CQ23" s="3"/>
      <c r="CS23" s="3"/>
      <c r="CT23" s="3"/>
      <c r="CY23" s="3"/>
      <c r="CZ23" s="3"/>
      <c r="DB23" s="3"/>
      <c r="DC23" s="3"/>
    </row>
    <row r="24" spans="4:107" ht="16.5" x14ac:dyDescent="0.25">
      <c r="D24" s="68"/>
      <c r="E24" s="98" t="s">
        <v>87</v>
      </c>
      <c r="F24" s="69" t="s">
        <v>175</v>
      </c>
      <c r="G24" s="48">
        <v>116</v>
      </c>
      <c r="H24" s="48"/>
      <c r="I24" s="70"/>
      <c r="M24"/>
      <c r="N24"/>
      <c r="O24"/>
      <c r="P24"/>
      <c r="Q24"/>
      <c r="R24"/>
      <c r="V24" s="3"/>
      <c r="W24" s="40"/>
      <c r="Y24" s="3"/>
      <c r="Z24" s="3"/>
      <c r="AA24" s="3"/>
      <c r="AE24" s="3"/>
      <c r="AF24" s="3"/>
      <c r="AH24" s="3"/>
      <c r="AI24" s="3"/>
      <c r="AJ24" s="3"/>
      <c r="AN24" s="3"/>
      <c r="AO24" s="3"/>
      <c r="AQ24" s="3"/>
      <c r="AR24" s="3"/>
      <c r="AW24" s="3"/>
      <c r="AX24" s="3"/>
      <c r="AZ24" s="3"/>
      <c r="BA24" s="3"/>
      <c r="BF24" s="3"/>
      <c r="BG24" s="3"/>
      <c r="BI24" s="3"/>
      <c r="BJ24" s="3"/>
      <c r="BO24" s="3"/>
      <c r="BP24" s="3"/>
      <c r="BR24" s="3"/>
      <c r="BS24" s="3"/>
      <c r="BX24" s="3"/>
      <c r="BY24" s="3"/>
      <c r="CA24" s="3"/>
      <c r="CB24" s="3"/>
      <c r="CC24" s="3"/>
      <c r="CG24" s="3"/>
      <c r="CH24" s="3"/>
      <c r="CJ24" s="3"/>
      <c r="CK24" s="3"/>
      <c r="CP24" s="3"/>
      <c r="CQ24" s="3"/>
      <c r="CS24" s="3"/>
      <c r="CT24" s="3"/>
      <c r="CY24" s="3"/>
      <c r="CZ24" s="3"/>
      <c r="DB24" s="3"/>
      <c r="DC24" s="3"/>
    </row>
    <row r="25" spans="4:107" ht="16.5" x14ac:dyDescent="0.25">
      <c r="D25" s="68"/>
      <c r="E25" s="80"/>
      <c r="F25" s="69" t="s">
        <v>176</v>
      </c>
      <c r="G25" s="48">
        <v>140</v>
      </c>
      <c r="H25" s="48"/>
      <c r="I25" s="70"/>
      <c r="M25"/>
      <c r="N25"/>
      <c r="O25"/>
      <c r="P25"/>
      <c r="Q25"/>
      <c r="R25"/>
      <c r="V25" s="3"/>
      <c r="W25" s="40"/>
      <c r="Y25" s="3"/>
      <c r="Z25" s="3"/>
      <c r="AA25" s="3"/>
      <c r="AE25" s="3"/>
      <c r="AF25" s="3"/>
      <c r="AH25" s="3"/>
      <c r="AI25" s="3"/>
      <c r="AJ25" s="3"/>
      <c r="AN25" s="3"/>
      <c r="AO25" s="3"/>
      <c r="AQ25" s="3"/>
      <c r="AR25" s="3"/>
      <c r="AW25" s="3"/>
      <c r="AX25" s="3"/>
      <c r="AZ25" s="3"/>
      <c r="BA25" s="3"/>
      <c r="BF25" s="3"/>
      <c r="BG25" s="3"/>
      <c r="BI25" s="3"/>
      <c r="BJ25" s="3"/>
      <c r="BO25" s="3"/>
      <c r="BP25" s="3"/>
      <c r="BR25" s="3"/>
      <c r="BS25" s="3"/>
      <c r="BX25" s="3"/>
      <c r="BY25" s="3"/>
      <c r="CA25" s="3"/>
      <c r="CB25" s="3"/>
      <c r="CC25" s="3"/>
      <c r="CG25" s="3"/>
      <c r="CH25" s="3"/>
      <c r="CJ25" s="3"/>
      <c r="CK25" s="3"/>
      <c r="CP25" s="3"/>
      <c r="CQ25" s="3"/>
      <c r="CS25" s="3"/>
      <c r="CT25" s="3"/>
      <c r="CY25" s="3"/>
      <c r="CZ25" s="3"/>
      <c r="DB25" s="3"/>
      <c r="DC25" s="3"/>
    </row>
    <row r="26" spans="4:107" ht="16.5" x14ac:dyDescent="0.25">
      <c r="D26" s="68"/>
      <c r="E26" s="80"/>
      <c r="F26" s="69" t="s">
        <v>177</v>
      </c>
      <c r="G26" s="48"/>
      <c r="H26" s="48">
        <v>256</v>
      </c>
      <c r="I26" s="70"/>
      <c r="M26"/>
      <c r="N26"/>
      <c r="O26"/>
      <c r="P26"/>
      <c r="Q26"/>
      <c r="R26"/>
      <c r="V26" s="3"/>
      <c r="W26" s="40"/>
      <c r="Y26" s="3"/>
      <c r="Z26" s="3"/>
      <c r="AA26" s="3"/>
      <c r="AE26" s="3"/>
      <c r="AF26" s="3"/>
      <c r="AH26" s="3"/>
      <c r="AI26" s="3"/>
      <c r="AJ26" s="3"/>
      <c r="AN26" s="3"/>
      <c r="AO26" s="3"/>
      <c r="AQ26" s="3"/>
      <c r="AR26" s="3"/>
      <c r="AW26" s="3"/>
      <c r="AX26" s="3"/>
      <c r="AZ26" s="3"/>
      <c r="BA26" s="3"/>
      <c r="BF26" s="3"/>
      <c r="BG26" s="3"/>
      <c r="BI26" s="3"/>
      <c r="BJ26" s="3"/>
      <c r="BO26" s="3"/>
      <c r="BP26" s="3"/>
      <c r="BR26" s="3"/>
      <c r="BS26" s="3"/>
      <c r="BX26" s="3"/>
      <c r="BY26" s="3"/>
      <c r="CA26" s="3"/>
      <c r="CB26" s="3"/>
      <c r="CC26" s="3"/>
      <c r="CG26" s="3"/>
      <c r="CH26" s="3"/>
      <c r="CJ26" s="3"/>
      <c r="CK26" s="3"/>
      <c r="CP26" s="3"/>
      <c r="CQ26" s="3"/>
      <c r="CS26" s="3"/>
      <c r="CT26" s="3"/>
      <c r="CY26" s="3"/>
      <c r="CZ26" s="3"/>
      <c r="DB26" s="3"/>
      <c r="DC26" s="3"/>
    </row>
    <row r="27" spans="4:107" ht="16.5" x14ac:dyDescent="0.25">
      <c r="D27" s="68">
        <v>1</v>
      </c>
      <c r="E27" s="80">
        <v>4</v>
      </c>
      <c r="F27" s="69" t="s">
        <v>46</v>
      </c>
      <c r="G27" s="48">
        <v>116</v>
      </c>
      <c r="H27" s="48"/>
      <c r="I27" s="70"/>
      <c r="M27"/>
      <c r="N27"/>
      <c r="O27"/>
      <c r="P27"/>
      <c r="Q27"/>
      <c r="R27"/>
      <c r="V27" s="3"/>
      <c r="W27" s="40"/>
      <c r="Y27" s="3"/>
      <c r="Z27" s="3"/>
      <c r="AA27" s="3"/>
      <c r="AE27" s="3"/>
      <c r="AF27" s="3"/>
      <c r="AH27" s="3"/>
      <c r="AI27" s="3"/>
      <c r="AJ27" s="3"/>
      <c r="AN27" s="3"/>
      <c r="AO27" s="3"/>
      <c r="AQ27" s="3"/>
      <c r="AR27" s="3"/>
      <c r="AW27" s="3"/>
      <c r="AX27" s="3"/>
      <c r="AZ27" s="3"/>
      <c r="BA27" s="3"/>
      <c r="BF27" s="3"/>
      <c r="BG27" s="3"/>
      <c r="BI27" s="3"/>
      <c r="BJ27" s="3"/>
      <c r="BO27" s="3"/>
      <c r="BP27" s="3"/>
      <c r="BR27" s="3"/>
      <c r="BS27" s="3"/>
      <c r="BX27" s="3"/>
      <c r="BY27" s="3"/>
      <c r="CA27" s="3"/>
      <c r="CB27" s="3"/>
      <c r="CC27" s="3"/>
      <c r="CG27" s="3"/>
      <c r="CH27" s="3"/>
      <c r="CJ27" s="3"/>
      <c r="CK27" s="3"/>
      <c r="CP27" s="3"/>
      <c r="CQ27" s="3"/>
      <c r="CS27" s="3"/>
      <c r="CT27" s="3"/>
      <c r="CY27" s="3"/>
      <c r="CZ27" s="3"/>
      <c r="DB27" s="3"/>
      <c r="DC27" s="3"/>
    </row>
    <row r="28" spans="4:107" ht="16.5" x14ac:dyDescent="0.25">
      <c r="D28" s="68"/>
      <c r="E28" s="80"/>
      <c r="F28" s="69" t="s">
        <v>178</v>
      </c>
      <c r="G28" s="48">
        <v>16</v>
      </c>
      <c r="H28" s="48"/>
      <c r="I28" s="70"/>
      <c r="M28"/>
      <c r="N28"/>
      <c r="O28"/>
      <c r="P28"/>
      <c r="Q28"/>
      <c r="R28"/>
      <c r="V28" s="3"/>
      <c r="W28" s="40"/>
      <c r="Y28" s="3"/>
      <c r="Z28" s="3"/>
      <c r="AA28" s="3"/>
      <c r="AE28" s="3"/>
      <c r="AF28" s="3"/>
      <c r="AH28" s="3"/>
      <c r="AI28" s="3"/>
      <c r="AJ28" s="3"/>
      <c r="AN28" s="3"/>
      <c r="AO28" s="3"/>
      <c r="AQ28" s="3"/>
      <c r="AR28" s="3"/>
      <c r="AW28" s="3"/>
      <c r="AX28" s="3"/>
      <c r="AZ28" s="3"/>
      <c r="BA28" s="3"/>
      <c r="BF28" s="3"/>
      <c r="BG28" s="3"/>
      <c r="BI28" s="3"/>
      <c r="BJ28" s="3"/>
      <c r="BO28" s="3"/>
      <c r="BP28" s="3"/>
      <c r="BR28" s="3"/>
      <c r="BS28" s="3"/>
      <c r="BX28" s="3"/>
      <c r="BY28" s="3"/>
      <c r="CA28" s="3"/>
      <c r="CB28" s="3"/>
      <c r="CC28" s="3"/>
      <c r="CG28" s="3"/>
      <c r="CH28" s="3"/>
      <c r="CJ28" s="3"/>
      <c r="CK28" s="3"/>
      <c r="CP28" s="3"/>
      <c r="CQ28" s="3"/>
      <c r="CS28" s="3"/>
      <c r="CT28" s="3"/>
      <c r="CY28" s="3"/>
      <c r="CZ28" s="3"/>
      <c r="DB28" s="3"/>
      <c r="DC28" s="3"/>
    </row>
    <row r="29" spans="4:107" ht="16.5" x14ac:dyDescent="0.25">
      <c r="D29" s="68"/>
      <c r="E29" s="80"/>
      <c r="F29" s="69" t="s">
        <v>168</v>
      </c>
      <c r="G29" s="48"/>
      <c r="H29" s="48">
        <v>116</v>
      </c>
      <c r="I29" s="70"/>
      <c r="M29"/>
      <c r="N29"/>
      <c r="O29"/>
      <c r="P29"/>
      <c r="Q29"/>
      <c r="R29"/>
      <c r="V29" s="3"/>
      <c r="W29" s="40"/>
      <c r="Y29" s="3"/>
      <c r="Z29" s="3"/>
      <c r="AA29" s="3"/>
      <c r="AE29" s="3"/>
      <c r="AF29" s="3"/>
      <c r="AH29" s="3"/>
      <c r="AI29" s="3"/>
      <c r="AJ29" s="3"/>
      <c r="AN29" s="3"/>
      <c r="AO29" s="3"/>
      <c r="AQ29" s="3"/>
      <c r="AR29" s="3"/>
      <c r="AW29" s="3"/>
      <c r="AX29" s="3"/>
      <c r="AZ29" s="3"/>
      <c r="BA29" s="3"/>
      <c r="BF29" s="3"/>
      <c r="BG29" s="3"/>
      <c r="BI29" s="3"/>
      <c r="BJ29" s="3"/>
      <c r="BO29" s="3"/>
      <c r="BP29" s="3"/>
      <c r="BR29" s="3"/>
      <c r="BS29" s="3"/>
      <c r="BX29" s="3"/>
      <c r="BY29" s="3"/>
      <c r="CA29" s="3"/>
      <c r="CB29" s="3"/>
      <c r="CC29" s="3"/>
      <c r="CG29" s="3"/>
      <c r="CH29" s="3"/>
      <c r="CJ29" s="3"/>
      <c r="CK29" s="3"/>
      <c r="CP29" s="3"/>
      <c r="CQ29" s="3"/>
      <c r="CS29" s="3"/>
      <c r="CT29" s="3"/>
      <c r="CY29" s="3"/>
      <c r="CZ29" s="3"/>
      <c r="DB29" s="3"/>
      <c r="DC29" s="3"/>
    </row>
    <row r="30" spans="4:107" ht="16.5" x14ac:dyDescent="0.25">
      <c r="D30" s="68"/>
      <c r="E30" s="80"/>
      <c r="F30" s="69" t="s">
        <v>179</v>
      </c>
      <c r="G30" s="48"/>
      <c r="H30" s="48">
        <v>16</v>
      </c>
      <c r="I30" s="70"/>
      <c r="M30"/>
      <c r="N30"/>
      <c r="O30"/>
      <c r="P30"/>
      <c r="Q30"/>
      <c r="R30"/>
      <c r="V30" s="3"/>
      <c r="W30" s="40"/>
      <c r="Y30" s="3"/>
      <c r="Z30" s="3"/>
      <c r="AA30" s="3"/>
      <c r="AE30" s="3"/>
      <c r="AF30" s="3"/>
      <c r="AH30" s="3"/>
      <c r="AI30" s="3"/>
      <c r="AJ30" s="3"/>
      <c r="AN30" s="3"/>
      <c r="AO30" s="3"/>
      <c r="AQ30" s="3"/>
      <c r="AR30" s="3"/>
      <c r="AW30" s="3"/>
      <c r="AX30" s="3"/>
      <c r="AZ30" s="3"/>
      <c r="BA30" s="3"/>
      <c r="BF30" s="3"/>
      <c r="BG30" s="3"/>
      <c r="BI30" s="3"/>
      <c r="BJ30" s="3"/>
      <c r="BO30" s="3"/>
      <c r="BP30" s="3"/>
      <c r="BR30" s="3"/>
      <c r="BS30" s="3"/>
      <c r="BX30" s="3"/>
      <c r="BY30" s="3"/>
      <c r="CA30" s="3"/>
      <c r="CB30" s="3"/>
      <c r="CC30" s="3"/>
      <c r="CG30" s="3"/>
      <c r="CH30" s="3"/>
      <c r="CJ30" s="3"/>
      <c r="CK30" s="3"/>
      <c r="CP30" s="3"/>
      <c r="CQ30" s="3"/>
      <c r="CS30" s="3"/>
      <c r="CT30" s="3"/>
      <c r="CY30" s="3"/>
      <c r="CZ30" s="3"/>
      <c r="DB30" s="3"/>
      <c r="DC30" s="3"/>
    </row>
    <row r="31" spans="4:107" ht="16.5" x14ac:dyDescent="0.25">
      <c r="D31" s="68"/>
      <c r="E31" s="98" t="s">
        <v>87</v>
      </c>
      <c r="F31" s="69" t="s">
        <v>180</v>
      </c>
      <c r="G31" s="48">
        <v>149</v>
      </c>
      <c r="H31" s="48"/>
      <c r="I31" s="70"/>
      <c r="M31"/>
      <c r="N31"/>
      <c r="O31"/>
      <c r="P31"/>
      <c r="Q31"/>
      <c r="R31"/>
      <c r="V31" s="3"/>
      <c r="W31" s="40"/>
      <c r="Y31" s="3"/>
      <c r="Z31" s="3"/>
      <c r="AA31" s="3"/>
      <c r="AE31" s="3"/>
      <c r="AF31" s="3"/>
      <c r="AH31" s="3"/>
      <c r="AI31" s="3"/>
      <c r="AJ31" s="3"/>
      <c r="AN31" s="3"/>
      <c r="AO31" s="3"/>
      <c r="AQ31" s="3"/>
      <c r="AR31" s="3"/>
      <c r="AW31" s="3"/>
      <c r="AX31" s="3"/>
      <c r="AZ31" s="3"/>
      <c r="BA31" s="3"/>
      <c r="BF31" s="3"/>
      <c r="BG31" s="3"/>
      <c r="BI31" s="3"/>
      <c r="BJ31" s="3"/>
      <c r="BO31" s="3"/>
      <c r="BP31" s="3"/>
      <c r="BR31" s="3"/>
      <c r="BS31" s="3"/>
      <c r="BX31" s="3"/>
      <c r="BY31" s="3"/>
      <c r="CA31" s="3"/>
      <c r="CB31" s="3"/>
      <c r="CC31" s="3"/>
      <c r="CG31" s="3"/>
      <c r="CH31" s="3"/>
      <c r="CJ31" s="3"/>
      <c r="CK31" s="3"/>
      <c r="CP31" s="3"/>
      <c r="CQ31" s="3"/>
      <c r="CS31" s="3"/>
      <c r="CT31" s="3"/>
      <c r="CY31" s="3"/>
      <c r="CZ31" s="3"/>
      <c r="DB31" s="3"/>
      <c r="DC31" s="3"/>
    </row>
    <row r="32" spans="4:107" ht="16.5" x14ac:dyDescent="0.25">
      <c r="D32" s="68"/>
      <c r="E32" s="80"/>
      <c r="F32" s="69" t="s">
        <v>185</v>
      </c>
      <c r="G32" s="48">
        <v>1160</v>
      </c>
      <c r="H32" s="48"/>
      <c r="I32" s="70"/>
      <c r="M32"/>
      <c r="N32"/>
      <c r="O32"/>
      <c r="P32"/>
      <c r="Q32"/>
      <c r="R32"/>
      <c r="V32" s="3"/>
      <c r="W32" s="40"/>
      <c r="Y32" s="3"/>
      <c r="Z32" s="3"/>
      <c r="AA32" s="3"/>
      <c r="AE32" s="3"/>
      <c r="AF32" s="3"/>
      <c r="AH32" s="3"/>
      <c r="AI32" s="3"/>
      <c r="AJ32" s="3"/>
      <c r="AN32" s="3"/>
      <c r="AO32" s="3"/>
      <c r="AQ32" s="3"/>
      <c r="AR32" s="3"/>
      <c r="AW32" s="3"/>
      <c r="AX32" s="3"/>
      <c r="AZ32" s="3"/>
      <c r="BA32" s="3"/>
      <c r="BF32" s="3"/>
      <c r="BG32" s="3"/>
      <c r="BI32" s="3"/>
      <c r="BJ32" s="3"/>
      <c r="BO32" s="3"/>
      <c r="BP32" s="3"/>
      <c r="BR32" s="3"/>
      <c r="BS32" s="3"/>
      <c r="BX32" s="3"/>
      <c r="BY32" s="3"/>
      <c r="CA32" s="3"/>
      <c r="CB32" s="3"/>
      <c r="CC32" s="3"/>
      <c r="CG32" s="3"/>
      <c r="CH32" s="3"/>
      <c r="CJ32" s="3"/>
      <c r="CK32" s="3"/>
      <c r="CP32" s="3"/>
      <c r="CQ32" s="3"/>
      <c r="CS32" s="3"/>
      <c r="CT32" s="3"/>
      <c r="CY32" s="3"/>
      <c r="CZ32" s="3"/>
      <c r="DB32" s="3"/>
      <c r="DC32" s="3"/>
    </row>
    <row r="33" spans="4:107" ht="16.5" x14ac:dyDescent="0.25">
      <c r="D33" s="68"/>
      <c r="E33" s="80"/>
      <c r="F33" s="69" t="s">
        <v>181</v>
      </c>
      <c r="G33" s="48"/>
      <c r="H33" s="48">
        <v>1309</v>
      </c>
      <c r="I33" s="70"/>
      <c r="M33"/>
      <c r="N33"/>
      <c r="O33"/>
      <c r="P33"/>
      <c r="Q33"/>
      <c r="R33"/>
      <c r="V33" s="3"/>
      <c r="W33" s="40"/>
      <c r="Y33" s="3"/>
      <c r="Z33" s="3"/>
      <c r="AA33" s="3"/>
      <c r="AE33" s="3"/>
      <c r="AF33" s="3"/>
      <c r="AH33" s="3"/>
      <c r="AI33" s="3"/>
      <c r="AJ33" s="3"/>
      <c r="AN33" s="3"/>
      <c r="AO33" s="3"/>
      <c r="AQ33" s="3"/>
      <c r="AR33" s="3"/>
      <c r="AW33" s="3"/>
      <c r="AX33" s="3"/>
      <c r="AZ33" s="3"/>
      <c r="BA33" s="3"/>
      <c r="BF33" s="3"/>
      <c r="BG33" s="3"/>
      <c r="BI33" s="3"/>
      <c r="BJ33" s="3"/>
      <c r="BO33" s="3"/>
      <c r="BP33" s="3"/>
      <c r="BR33" s="3"/>
      <c r="BS33" s="3"/>
      <c r="BX33" s="3"/>
      <c r="BY33" s="3"/>
      <c r="CA33" s="3"/>
      <c r="CB33" s="3"/>
      <c r="CC33" s="3"/>
      <c r="CG33" s="3"/>
      <c r="CH33" s="3"/>
      <c r="CJ33" s="3"/>
      <c r="CK33" s="3"/>
      <c r="CP33" s="3"/>
      <c r="CQ33" s="3"/>
      <c r="CS33" s="3"/>
      <c r="CT33" s="3"/>
      <c r="CY33" s="3"/>
      <c r="CZ33" s="3"/>
      <c r="DB33" s="3"/>
      <c r="DC33" s="3"/>
    </row>
    <row r="34" spans="4:107" ht="16.5" x14ac:dyDescent="0.25">
      <c r="D34" s="68"/>
      <c r="E34" s="98" t="s">
        <v>87</v>
      </c>
      <c r="F34" s="69" t="s">
        <v>183</v>
      </c>
      <c r="G34" s="48">
        <v>1160</v>
      </c>
      <c r="H34" s="48"/>
      <c r="I34" s="70"/>
      <c r="M34"/>
      <c r="N34"/>
      <c r="O34"/>
      <c r="P34"/>
      <c r="Q34"/>
      <c r="R34"/>
      <c r="V34" s="3"/>
      <c r="W34" s="40"/>
      <c r="Y34" s="3"/>
      <c r="Z34" s="3"/>
      <c r="AA34" s="3"/>
      <c r="AE34" s="3"/>
      <c r="AF34" s="3"/>
      <c r="AH34" s="3"/>
      <c r="AI34" s="3"/>
      <c r="AJ34" s="3"/>
      <c r="AN34" s="3"/>
      <c r="AO34" s="3"/>
      <c r="AQ34" s="3"/>
      <c r="AR34" s="3"/>
      <c r="AW34" s="3"/>
      <c r="AX34" s="3"/>
      <c r="AZ34" s="3"/>
      <c r="BA34" s="3"/>
      <c r="BF34" s="3"/>
      <c r="BG34" s="3"/>
      <c r="BI34" s="3"/>
      <c r="BJ34" s="3"/>
      <c r="BO34" s="3"/>
      <c r="BP34" s="3"/>
      <c r="BR34" s="3"/>
      <c r="BS34" s="3"/>
      <c r="BX34" s="3"/>
      <c r="BY34" s="3"/>
      <c r="CA34" s="3"/>
      <c r="CB34" s="3"/>
      <c r="CC34" s="3"/>
      <c r="CG34" s="3"/>
      <c r="CH34" s="3"/>
      <c r="CJ34" s="3"/>
      <c r="CK34" s="3"/>
      <c r="CP34" s="3"/>
      <c r="CQ34" s="3"/>
      <c r="CS34" s="3"/>
      <c r="CT34" s="3"/>
      <c r="CY34" s="3"/>
      <c r="CZ34" s="3"/>
      <c r="DB34" s="3"/>
      <c r="DC34" s="3"/>
    </row>
    <row r="35" spans="4:107" ht="16.5" x14ac:dyDescent="0.25">
      <c r="D35" s="68"/>
      <c r="E35" s="80"/>
      <c r="F35" s="69" t="s">
        <v>186</v>
      </c>
      <c r="G35" s="48"/>
      <c r="H35" s="48">
        <v>1160</v>
      </c>
      <c r="I35" s="70"/>
      <c r="M35"/>
      <c r="N35"/>
      <c r="O35"/>
      <c r="P35"/>
      <c r="Q35"/>
      <c r="R35"/>
      <c r="V35" s="3"/>
      <c r="W35" s="40"/>
      <c r="Y35" s="3"/>
      <c r="Z35" s="3"/>
      <c r="AA35" s="3"/>
      <c r="AE35" s="3"/>
      <c r="AF35" s="3"/>
      <c r="AH35" s="3"/>
      <c r="AI35" s="3"/>
      <c r="AJ35" s="3"/>
      <c r="AN35" s="3"/>
      <c r="AO35" s="3"/>
      <c r="AQ35" s="3"/>
      <c r="AR35" s="3"/>
      <c r="AW35" s="3"/>
      <c r="AX35" s="3"/>
      <c r="AZ35" s="3"/>
      <c r="BA35" s="3"/>
      <c r="BF35" s="3"/>
      <c r="BG35" s="3"/>
      <c r="BI35" s="3"/>
      <c r="BJ35" s="3"/>
      <c r="BO35" s="3"/>
      <c r="BP35" s="3"/>
      <c r="BR35" s="3"/>
      <c r="BS35" s="3"/>
      <c r="BX35" s="3"/>
      <c r="BY35" s="3"/>
      <c r="CA35" s="3"/>
      <c r="CB35" s="3"/>
      <c r="CC35" s="3"/>
      <c r="CG35" s="3"/>
      <c r="CH35" s="3"/>
      <c r="CJ35" s="3"/>
      <c r="CK35" s="3"/>
      <c r="CP35" s="3"/>
      <c r="CQ35" s="3"/>
      <c r="CS35" s="3"/>
      <c r="CT35" s="3"/>
      <c r="CY35" s="3"/>
      <c r="CZ35" s="3"/>
      <c r="DB35" s="3"/>
      <c r="DC35" s="3"/>
    </row>
    <row r="36" spans="4:107" ht="16.5" x14ac:dyDescent="0.25">
      <c r="D36" s="68"/>
      <c r="E36" s="98" t="s">
        <v>87</v>
      </c>
      <c r="F36" s="69" t="s">
        <v>182</v>
      </c>
      <c r="G36" s="48">
        <v>132</v>
      </c>
      <c r="H36" s="48"/>
      <c r="I36" s="70"/>
      <c r="M36"/>
      <c r="N36"/>
      <c r="O36"/>
      <c r="P36"/>
      <c r="Q36"/>
      <c r="R36"/>
      <c r="V36" s="3"/>
      <c r="W36" s="40"/>
      <c r="Y36" s="3"/>
      <c r="Z36" s="3"/>
      <c r="AA36" s="3"/>
      <c r="AE36" s="3"/>
      <c r="AF36" s="3"/>
      <c r="AH36" s="3"/>
      <c r="AI36" s="3"/>
      <c r="AJ36" s="3"/>
      <c r="AN36" s="3"/>
      <c r="AO36" s="3"/>
      <c r="AQ36" s="3"/>
      <c r="AR36" s="3"/>
      <c r="AW36" s="3"/>
      <c r="AX36" s="3"/>
      <c r="AZ36" s="3"/>
      <c r="BA36" s="3"/>
      <c r="BF36" s="3"/>
      <c r="BG36" s="3"/>
      <c r="BI36" s="3"/>
      <c r="BJ36" s="3"/>
      <c r="BO36" s="3"/>
      <c r="BP36" s="3"/>
      <c r="BR36" s="3"/>
      <c r="BS36" s="3"/>
      <c r="BX36" s="3"/>
      <c r="BY36" s="3"/>
      <c r="CA36" s="3"/>
      <c r="CB36" s="3"/>
      <c r="CC36" s="3"/>
      <c r="CG36" s="3"/>
      <c r="CH36" s="3"/>
      <c r="CJ36" s="3"/>
      <c r="CK36" s="3"/>
      <c r="CP36" s="3"/>
      <c r="CQ36" s="3"/>
      <c r="CS36" s="3"/>
      <c r="CT36" s="3"/>
      <c r="CY36" s="3"/>
      <c r="CZ36" s="3"/>
      <c r="DB36" s="3"/>
      <c r="DC36" s="3"/>
    </row>
    <row r="37" spans="4:107" ht="16.5" x14ac:dyDescent="0.25">
      <c r="D37" s="68"/>
      <c r="E37" s="80"/>
      <c r="F37" s="69" t="s">
        <v>183</v>
      </c>
      <c r="G37" s="48">
        <v>149</v>
      </c>
      <c r="H37" s="48"/>
      <c r="I37" s="70"/>
      <c r="M37"/>
      <c r="N37"/>
      <c r="O37"/>
      <c r="P37"/>
      <c r="Q37"/>
      <c r="R37"/>
      <c r="V37" s="3"/>
      <c r="W37" s="40"/>
      <c r="Y37" s="3"/>
      <c r="Z37" s="3"/>
      <c r="AA37" s="3"/>
      <c r="AE37" s="3"/>
      <c r="AF37" s="3"/>
      <c r="AH37" s="3"/>
      <c r="AI37" s="3"/>
      <c r="AJ37" s="3"/>
      <c r="AN37" s="3"/>
      <c r="AO37" s="3"/>
      <c r="AQ37" s="3"/>
      <c r="AR37" s="3"/>
      <c r="AW37" s="3"/>
      <c r="AX37" s="3"/>
      <c r="AZ37" s="3"/>
      <c r="BA37" s="3"/>
      <c r="BF37" s="3"/>
      <c r="BG37" s="3"/>
      <c r="BI37" s="3"/>
      <c r="BJ37" s="3"/>
      <c r="BO37" s="3"/>
      <c r="BP37" s="3"/>
      <c r="BR37" s="3"/>
      <c r="BS37" s="3"/>
      <c r="BX37" s="3"/>
      <c r="BY37" s="3"/>
      <c r="CA37" s="3"/>
      <c r="CB37" s="3"/>
      <c r="CC37" s="3"/>
      <c r="CG37" s="3"/>
      <c r="CH37" s="3"/>
      <c r="CJ37" s="3"/>
      <c r="CK37" s="3"/>
      <c r="CP37" s="3"/>
      <c r="CQ37" s="3"/>
      <c r="CS37" s="3"/>
      <c r="CT37" s="3"/>
      <c r="CY37" s="3"/>
      <c r="CZ37" s="3"/>
      <c r="DB37" s="3"/>
      <c r="DC37" s="3"/>
    </row>
    <row r="38" spans="4:107" ht="16.5" x14ac:dyDescent="0.25">
      <c r="D38" s="68"/>
      <c r="E38" s="80"/>
      <c r="F38" s="69" t="s">
        <v>184</v>
      </c>
      <c r="G38" s="48"/>
      <c r="H38" s="48">
        <v>281</v>
      </c>
      <c r="I38" s="70"/>
      <c r="M38"/>
      <c r="N38"/>
      <c r="O38"/>
      <c r="P38"/>
      <c r="Q38"/>
      <c r="R38"/>
      <c r="V38" s="3"/>
      <c r="W38" s="40"/>
      <c r="Y38" s="3"/>
      <c r="Z38" s="3"/>
      <c r="AA38" s="3"/>
      <c r="AE38" s="3"/>
      <c r="AF38" s="3"/>
      <c r="AH38" s="3"/>
      <c r="AI38" s="3"/>
      <c r="AJ38" s="3"/>
      <c r="AN38" s="3"/>
      <c r="AO38" s="3"/>
      <c r="AQ38" s="3"/>
      <c r="AR38" s="3"/>
      <c r="AW38" s="3"/>
      <c r="AX38" s="3"/>
      <c r="AZ38" s="3"/>
      <c r="BA38" s="3"/>
      <c r="BF38" s="3"/>
      <c r="BG38" s="3"/>
      <c r="BI38" s="3"/>
      <c r="BJ38" s="3"/>
      <c r="BO38" s="3"/>
      <c r="BP38" s="3"/>
      <c r="BR38" s="3"/>
      <c r="BS38" s="3"/>
      <c r="BX38" s="3"/>
      <c r="BY38" s="3"/>
      <c r="CA38" s="3"/>
      <c r="CB38" s="3"/>
      <c r="CC38" s="3"/>
      <c r="CG38" s="3"/>
      <c r="CH38" s="3"/>
      <c r="CJ38" s="3"/>
      <c r="CK38" s="3"/>
      <c r="CP38" s="3"/>
      <c r="CQ38" s="3"/>
      <c r="CS38" s="3"/>
      <c r="CT38" s="3"/>
      <c r="CY38" s="3"/>
      <c r="CZ38" s="3"/>
      <c r="DB38" s="3"/>
      <c r="DC38" s="3"/>
    </row>
    <row r="39" spans="4:107" ht="16.5" x14ac:dyDescent="0.25">
      <c r="D39" s="68">
        <v>1</v>
      </c>
      <c r="E39" s="80">
        <v>7</v>
      </c>
      <c r="F39" s="69" t="s">
        <v>187</v>
      </c>
      <c r="G39" s="48">
        <v>512</v>
      </c>
      <c r="H39" s="48"/>
      <c r="I39" s="70"/>
      <c r="M39"/>
      <c r="N39"/>
      <c r="O39"/>
      <c r="P39"/>
      <c r="Q39"/>
      <c r="R39"/>
      <c r="V39" s="3"/>
      <c r="W39" s="40"/>
      <c r="Y39" s="3"/>
      <c r="Z39" s="3"/>
      <c r="AA39" s="3"/>
      <c r="AE39" s="3"/>
      <c r="AF39" s="3"/>
      <c r="AH39" s="3"/>
      <c r="AI39" s="3"/>
      <c r="AJ39" s="3"/>
      <c r="AN39" s="3"/>
      <c r="AO39" s="3"/>
      <c r="AQ39" s="3"/>
      <c r="AR39" s="3"/>
      <c r="AW39" s="3"/>
      <c r="AX39" s="3"/>
      <c r="AZ39" s="3"/>
      <c r="BA39" s="3"/>
      <c r="BF39" s="3"/>
      <c r="BG39" s="3"/>
      <c r="BI39" s="3"/>
      <c r="BJ39" s="3"/>
      <c r="BO39" s="3"/>
      <c r="BP39" s="3"/>
      <c r="BR39" s="3"/>
      <c r="BS39" s="3"/>
      <c r="BX39" s="3"/>
      <c r="BY39" s="3"/>
      <c r="CA39" s="3"/>
      <c r="CB39" s="3"/>
      <c r="CC39" s="3"/>
      <c r="CG39" s="3"/>
      <c r="CH39" s="3"/>
      <c r="CJ39" s="3"/>
      <c r="CK39" s="3"/>
      <c r="CP39" s="3"/>
      <c r="CQ39" s="3"/>
      <c r="CS39" s="3"/>
      <c r="CT39" s="3"/>
      <c r="CY39" s="3"/>
      <c r="CZ39" s="3"/>
      <c r="DB39" s="3"/>
      <c r="DC39" s="3"/>
    </row>
    <row r="40" spans="4:107" ht="16.5" x14ac:dyDescent="0.25">
      <c r="D40" s="68"/>
      <c r="E40" s="80"/>
      <c r="F40" s="69" t="s">
        <v>188</v>
      </c>
      <c r="G40" s="48"/>
      <c r="H40" s="48">
        <v>500</v>
      </c>
      <c r="I40" s="70"/>
      <c r="M40"/>
      <c r="N40"/>
      <c r="O40"/>
      <c r="P40"/>
      <c r="Q40"/>
      <c r="R40"/>
      <c r="V40" s="3"/>
      <c r="W40" s="40"/>
      <c r="Y40" s="3"/>
      <c r="Z40" s="3"/>
      <c r="AA40" s="3"/>
      <c r="AE40" s="3"/>
      <c r="AF40" s="3"/>
      <c r="AH40" s="3"/>
      <c r="AI40" s="3"/>
      <c r="AJ40" s="3"/>
      <c r="AN40" s="3"/>
      <c r="AO40" s="3"/>
      <c r="AQ40" s="3"/>
      <c r="AR40" s="3"/>
      <c r="AW40" s="3"/>
      <c r="AX40" s="3"/>
      <c r="AZ40" s="3"/>
      <c r="BA40" s="3"/>
      <c r="BF40" s="3"/>
      <c r="BG40" s="3"/>
      <c r="BI40" s="3"/>
      <c r="BJ40" s="3"/>
      <c r="BO40" s="3"/>
      <c r="BP40" s="3"/>
      <c r="BR40" s="3"/>
      <c r="BS40" s="3"/>
      <c r="BX40" s="3"/>
      <c r="BY40" s="3"/>
      <c r="CA40" s="3"/>
      <c r="CB40" s="3"/>
      <c r="CC40" s="3"/>
      <c r="CG40" s="3"/>
      <c r="CH40" s="3"/>
      <c r="CJ40" s="3"/>
      <c r="CK40" s="3"/>
      <c r="CP40" s="3"/>
      <c r="CQ40" s="3"/>
      <c r="CS40" s="3"/>
      <c r="CT40" s="3"/>
      <c r="CY40" s="3"/>
      <c r="CZ40" s="3"/>
      <c r="DB40" s="3"/>
      <c r="DC40" s="3"/>
    </row>
    <row r="41" spans="4:107" ht="16.5" x14ac:dyDescent="0.25">
      <c r="D41" s="68"/>
      <c r="E41" s="80"/>
      <c r="F41" s="69" t="s">
        <v>189</v>
      </c>
      <c r="G41" s="48"/>
      <c r="H41" s="48">
        <v>12</v>
      </c>
      <c r="I41" s="70"/>
      <c r="M41"/>
      <c r="N41"/>
      <c r="O41"/>
      <c r="P41"/>
      <c r="Q41"/>
      <c r="R41"/>
      <c r="V41" s="3"/>
      <c r="W41" s="40"/>
      <c r="Y41" s="3"/>
      <c r="Z41" s="3"/>
      <c r="AA41" s="3"/>
      <c r="AE41" s="3"/>
      <c r="AF41" s="3"/>
      <c r="AH41" s="3"/>
      <c r="AI41" s="3"/>
      <c r="AJ41" s="3"/>
      <c r="AN41" s="3"/>
      <c r="AO41" s="3"/>
      <c r="AQ41" s="3"/>
      <c r="AR41" s="3"/>
      <c r="AW41" s="3"/>
      <c r="AX41" s="3"/>
      <c r="AZ41" s="3"/>
      <c r="BA41" s="3"/>
      <c r="BF41" s="3"/>
      <c r="BG41" s="3"/>
      <c r="BI41" s="3"/>
      <c r="BJ41" s="3"/>
      <c r="BO41" s="3"/>
      <c r="BP41" s="3"/>
      <c r="BR41" s="3"/>
      <c r="BS41" s="3"/>
      <c r="BX41" s="3"/>
      <c r="BY41" s="3"/>
      <c r="CA41" s="3"/>
      <c r="CB41" s="3"/>
      <c r="CC41" s="3"/>
      <c r="CG41" s="3"/>
      <c r="CH41" s="3"/>
      <c r="CJ41" s="3"/>
      <c r="CK41" s="3"/>
      <c r="CP41" s="3"/>
      <c r="CQ41" s="3"/>
      <c r="CS41" s="3"/>
      <c r="CT41" s="3"/>
      <c r="CY41" s="3"/>
      <c r="CZ41" s="3"/>
      <c r="DB41" s="3"/>
      <c r="DC41" s="3"/>
    </row>
    <row r="42" spans="4:107" ht="16.5" x14ac:dyDescent="0.25">
      <c r="D42" s="68"/>
      <c r="E42" s="98" t="s">
        <v>87</v>
      </c>
      <c r="F42" s="69" t="s">
        <v>190</v>
      </c>
      <c r="G42" s="48">
        <v>512</v>
      </c>
      <c r="H42" s="48"/>
      <c r="I42" s="70"/>
      <c r="M42"/>
      <c r="N42"/>
      <c r="O42"/>
      <c r="P42"/>
      <c r="Q42"/>
      <c r="R42"/>
      <c r="V42" s="3"/>
      <c r="W42" s="40"/>
      <c r="Y42" s="3"/>
      <c r="Z42" s="3"/>
      <c r="AA42" s="3"/>
      <c r="AE42" s="3"/>
      <c r="AF42" s="3"/>
      <c r="AH42" s="3"/>
      <c r="AI42" s="3"/>
      <c r="AJ42" s="3"/>
      <c r="AN42" s="3"/>
      <c r="AO42" s="3"/>
      <c r="AQ42" s="3"/>
      <c r="AR42" s="3"/>
      <c r="AW42" s="3"/>
      <c r="AX42" s="3"/>
      <c r="AZ42" s="3"/>
      <c r="BA42" s="3"/>
      <c r="BF42" s="3"/>
      <c r="BG42" s="3"/>
      <c r="BI42" s="3"/>
      <c r="BJ42" s="3"/>
      <c r="BO42" s="3"/>
      <c r="BP42" s="3"/>
      <c r="BR42" s="3"/>
      <c r="BS42" s="3"/>
      <c r="BX42" s="3"/>
      <c r="BY42" s="3"/>
      <c r="CA42" s="3"/>
      <c r="CB42" s="3"/>
      <c r="CC42" s="3"/>
      <c r="CG42" s="3"/>
      <c r="CH42" s="3"/>
      <c r="CJ42" s="3"/>
      <c r="CK42" s="3"/>
      <c r="CP42" s="3"/>
      <c r="CQ42" s="3"/>
      <c r="CS42" s="3"/>
      <c r="CT42" s="3"/>
      <c r="CY42" s="3"/>
      <c r="CZ42" s="3"/>
      <c r="DB42" s="3"/>
      <c r="DC42" s="3"/>
    </row>
    <row r="43" spans="4:107" ht="16.5" x14ac:dyDescent="0.25">
      <c r="D43" s="68"/>
      <c r="E43" s="80"/>
      <c r="F43" s="69" t="s">
        <v>191</v>
      </c>
      <c r="G43" s="48"/>
      <c r="H43" s="48">
        <v>512</v>
      </c>
      <c r="I43" s="70"/>
      <c r="M43"/>
      <c r="N43"/>
      <c r="O43"/>
      <c r="P43"/>
      <c r="Q43"/>
      <c r="R43"/>
      <c r="V43" s="3"/>
      <c r="W43" s="40"/>
      <c r="Y43" s="3"/>
      <c r="Z43" s="3"/>
      <c r="AA43" s="3"/>
      <c r="AE43" s="3"/>
      <c r="AF43" s="3"/>
      <c r="AH43" s="3"/>
      <c r="AI43" s="3"/>
      <c r="AJ43" s="3"/>
      <c r="AN43" s="3"/>
      <c r="AO43" s="3"/>
      <c r="AQ43" s="3"/>
      <c r="AR43" s="3"/>
      <c r="AW43" s="3"/>
      <c r="AX43" s="3"/>
      <c r="AZ43" s="3"/>
      <c r="BA43" s="3"/>
      <c r="BF43" s="3"/>
      <c r="BG43" s="3"/>
      <c r="BI43" s="3"/>
      <c r="BJ43" s="3"/>
      <c r="BO43" s="3"/>
      <c r="BP43" s="3"/>
      <c r="BR43" s="3"/>
      <c r="BS43" s="3"/>
      <c r="BX43" s="3"/>
      <c r="BY43" s="3"/>
      <c r="CA43" s="3"/>
      <c r="CB43" s="3"/>
      <c r="CC43" s="3"/>
      <c r="CG43" s="3"/>
      <c r="CH43" s="3"/>
      <c r="CJ43" s="3"/>
      <c r="CK43" s="3"/>
      <c r="CP43" s="3"/>
      <c r="CQ43" s="3"/>
      <c r="CS43" s="3"/>
      <c r="CT43" s="3"/>
      <c r="CY43" s="3"/>
      <c r="CZ43" s="3"/>
      <c r="DB43" s="3"/>
      <c r="DC43" s="3"/>
    </row>
    <row r="44" spans="4:107" ht="16.5" x14ac:dyDescent="0.25">
      <c r="D44" s="68">
        <v>1</v>
      </c>
      <c r="E44" s="80">
        <v>8</v>
      </c>
      <c r="F44" s="69" t="s">
        <v>193</v>
      </c>
      <c r="G44" s="48">
        <v>116</v>
      </c>
      <c r="H44" s="48"/>
      <c r="I44" s="70"/>
      <c r="M44"/>
      <c r="N44"/>
      <c r="O44"/>
      <c r="P44"/>
      <c r="Q44"/>
      <c r="R44"/>
      <c r="V44" s="3"/>
      <c r="W44" s="40"/>
      <c r="Y44" s="3"/>
      <c r="Z44" s="3"/>
      <c r="AA44" s="3"/>
      <c r="AE44" s="3"/>
      <c r="AF44" s="3"/>
      <c r="AH44" s="3"/>
      <c r="AI44" s="3"/>
      <c r="AJ44" s="3"/>
      <c r="AN44" s="3"/>
      <c r="AO44" s="3"/>
      <c r="AQ44" s="3"/>
      <c r="AR44" s="3"/>
      <c r="AW44" s="3"/>
      <c r="AX44" s="3"/>
      <c r="AZ44" s="3"/>
      <c r="BA44" s="3"/>
      <c r="BF44" s="3"/>
      <c r="BG44" s="3"/>
      <c r="BI44" s="3"/>
      <c r="BJ44" s="3"/>
      <c r="BO44" s="3"/>
      <c r="BP44" s="3"/>
      <c r="BR44" s="3"/>
      <c r="BS44" s="3"/>
      <c r="BX44" s="3"/>
      <c r="BY44" s="3"/>
      <c r="CA44" s="3"/>
      <c r="CB44" s="3"/>
      <c r="CC44" s="3"/>
      <c r="CG44" s="3"/>
      <c r="CH44" s="3"/>
      <c r="CJ44" s="3"/>
      <c r="CK44" s="3"/>
      <c r="CP44" s="3"/>
      <c r="CQ44" s="3"/>
      <c r="CS44" s="3"/>
      <c r="CT44" s="3"/>
      <c r="CY44" s="3"/>
      <c r="CZ44" s="3"/>
      <c r="DB44" s="3"/>
      <c r="DC44" s="3"/>
    </row>
    <row r="45" spans="4:107" ht="16.5" x14ac:dyDescent="0.25">
      <c r="D45" s="68"/>
      <c r="E45" s="80"/>
      <c r="F45" s="69" t="s">
        <v>194</v>
      </c>
      <c r="G45" s="48"/>
      <c r="H45" s="48">
        <v>116</v>
      </c>
      <c r="I45" s="70"/>
      <c r="M45"/>
      <c r="N45"/>
      <c r="O45"/>
      <c r="P45"/>
      <c r="Q45"/>
      <c r="R45"/>
      <c r="V45" s="3"/>
      <c r="W45" s="40"/>
      <c r="Y45" s="3"/>
      <c r="Z45" s="3"/>
      <c r="AA45" s="3"/>
      <c r="AE45" s="3"/>
      <c r="AF45" s="3"/>
      <c r="AH45" s="3"/>
      <c r="AI45" s="3"/>
      <c r="AJ45" s="3"/>
      <c r="AN45" s="3"/>
      <c r="AO45" s="3"/>
      <c r="AQ45" s="3"/>
      <c r="AR45" s="3"/>
      <c r="AW45" s="3"/>
      <c r="AX45" s="3"/>
      <c r="AZ45" s="3"/>
      <c r="BA45" s="3"/>
      <c r="BF45" s="3"/>
      <c r="BG45" s="3"/>
      <c r="BI45" s="3"/>
      <c r="BJ45" s="3"/>
      <c r="BO45" s="3"/>
      <c r="BP45" s="3"/>
      <c r="BR45" s="3"/>
      <c r="BS45" s="3"/>
      <c r="BX45" s="3"/>
      <c r="BY45" s="3"/>
      <c r="CA45" s="3"/>
      <c r="CB45" s="3"/>
      <c r="CC45" s="3"/>
      <c r="CG45" s="3"/>
      <c r="CH45" s="3"/>
      <c r="CJ45" s="3"/>
      <c r="CK45" s="3"/>
      <c r="CP45" s="3"/>
      <c r="CQ45" s="3"/>
      <c r="CS45" s="3"/>
      <c r="CT45" s="3"/>
      <c r="CY45" s="3"/>
      <c r="CZ45" s="3"/>
      <c r="DB45" s="3"/>
      <c r="DC45" s="3"/>
    </row>
    <row r="46" spans="4:107" ht="16.5" x14ac:dyDescent="0.25">
      <c r="D46" s="68"/>
      <c r="E46" s="98" t="s">
        <v>87</v>
      </c>
      <c r="F46" s="69" t="s">
        <v>195</v>
      </c>
      <c r="G46" s="48">
        <f>40+32</f>
        <v>72</v>
      </c>
      <c r="H46" s="48"/>
      <c r="I46" s="70"/>
      <c r="M46"/>
      <c r="N46"/>
      <c r="O46"/>
      <c r="P46"/>
      <c r="Q46"/>
      <c r="R46"/>
      <c r="V46" s="3"/>
      <c r="W46" s="40"/>
      <c r="Y46" s="3"/>
      <c r="Z46" s="3"/>
      <c r="AA46" s="3"/>
      <c r="AE46" s="3"/>
      <c r="AF46" s="3"/>
      <c r="AH46" s="3"/>
      <c r="AI46" s="3"/>
      <c r="AJ46" s="3"/>
      <c r="AN46" s="3"/>
      <c r="AO46" s="3"/>
      <c r="AQ46" s="3"/>
      <c r="AR46" s="3"/>
      <c r="AW46" s="3"/>
      <c r="AX46" s="3"/>
      <c r="AZ46" s="3"/>
      <c r="BA46" s="3"/>
      <c r="BF46" s="3"/>
      <c r="BG46" s="3"/>
      <c r="BI46" s="3"/>
      <c r="BJ46" s="3"/>
      <c r="BO46" s="3"/>
      <c r="BP46" s="3"/>
      <c r="BR46" s="3"/>
      <c r="BS46" s="3"/>
      <c r="BX46" s="3"/>
      <c r="BY46" s="3"/>
      <c r="CA46" s="3"/>
      <c r="CB46" s="3"/>
      <c r="CC46" s="3"/>
      <c r="CG46" s="3"/>
      <c r="CH46" s="3"/>
      <c r="CJ46" s="3"/>
      <c r="CK46" s="3"/>
      <c r="CP46" s="3"/>
      <c r="CQ46" s="3"/>
      <c r="CS46" s="3"/>
      <c r="CT46" s="3"/>
      <c r="CY46" s="3"/>
      <c r="CZ46" s="3"/>
      <c r="DB46" s="3"/>
      <c r="DC46" s="3"/>
    </row>
    <row r="47" spans="4:107" ht="16.5" x14ac:dyDescent="0.25">
      <c r="D47" s="68"/>
      <c r="E47" s="80"/>
      <c r="F47" s="69" t="s">
        <v>196</v>
      </c>
      <c r="G47" s="48">
        <v>17</v>
      </c>
      <c r="H47" s="48"/>
      <c r="I47" s="70"/>
      <c r="M47"/>
      <c r="N47"/>
      <c r="O47"/>
      <c r="P47"/>
      <c r="Q47"/>
      <c r="R47"/>
      <c r="V47" s="3"/>
      <c r="W47" s="40"/>
      <c r="Y47" s="3"/>
      <c r="Z47" s="3"/>
      <c r="AA47" s="3"/>
      <c r="AE47" s="3"/>
      <c r="AF47" s="3"/>
      <c r="AH47" s="3"/>
      <c r="AI47" s="3"/>
      <c r="AJ47" s="3"/>
      <c r="AN47" s="3"/>
      <c r="AO47" s="3"/>
      <c r="AQ47" s="3"/>
      <c r="AR47" s="3"/>
      <c r="AW47" s="3"/>
      <c r="AX47" s="3"/>
      <c r="AZ47" s="3"/>
      <c r="BA47" s="3"/>
      <c r="BF47" s="3"/>
      <c r="BG47" s="3"/>
      <c r="BI47" s="3"/>
      <c r="BJ47" s="3"/>
      <c r="BO47" s="3"/>
      <c r="BP47" s="3"/>
      <c r="BR47" s="3"/>
      <c r="BS47" s="3"/>
      <c r="BX47" s="3"/>
      <c r="BY47" s="3"/>
      <c r="CA47" s="3"/>
      <c r="CB47" s="3"/>
      <c r="CC47" s="3"/>
      <c r="CG47" s="3"/>
      <c r="CH47" s="3"/>
      <c r="CJ47" s="3"/>
      <c r="CK47" s="3"/>
      <c r="CP47" s="3"/>
      <c r="CQ47" s="3"/>
      <c r="CS47" s="3"/>
      <c r="CT47" s="3"/>
      <c r="CY47" s="3"/>
      <c r="CZ47" s="3"/>
      <c r="DB47" s="3"/>
      <c r="DC47" s="3"/>
    </row>
    <row r="48" spans="4:107" ht="16.5" x14ac:dyDescent="0.25">
      <c r="D48" s="68"/>
      <c r="E48" s="80"/>
      <c r="F48" s="69" t="s">
        <v>197</v>
      </c>
      <c r="G48" s="48"/>
      <c r="H48" s="48">
        <v>89</v>
      </c>
      <c r="I48" s="70"/>
      <c r="M48"/>
      <c r="N48"/>
      <c r="O48"/>
      <c r="P48"/>
      <c r="Q48"/>
      <c r="R48"/>
      <c r="V48" s="3"/>
      <c r="W48" s="40"/>
      <c r="Y48" s="3"/>
      <c r="Z48" s="3"/>
      <c r="AA48" s="3"/>
      <c r="AE48" s="3"/>
      <c r="AF48" s="3"/>
      <c r="AH48" s="3"/>
      <c r="AI48" s="3"/>
      <c r="AJ48" s="3"/>
      <c r="AN48" s="3"/>
      <c r="AO48" s="3"/>
      <c r="AQ48" s="3"/>
      <c r="AR48" s="3"/>
      <c r="AW48" s="3"/>
      <c r="AX48" s="3"/>
      <c r="AZ48" s="3"/>
      <c r="BA48" s="3"/>
      <c r="BF48" s="3"/>
      <c r="BG48" s="3"/>
      <c r="BI48" s="3"/>
      <c r="BJ48" s="3"/>
      <c r="BO48" s="3"/>
      <c r="BP48" s="3"/>
      <c r="BR48" s="3"/>
      <c r="BS48" s="3"/>
      <c r="BX48" s="3"/>
      <c r="BY48" s="3"/>
      <c r="CA48" s="3"/>
      <c r="CB48" s="3"/>
      <c r="CC48" s="3"/>
      <c r="CG48" s="3"/>
      <c r="CH48" s="3"/>
      <c r="CJ48" s="3"/>
      <c r="CK48" s="3"/>
      <c r="CP48" s="3"/>
      <c r="CQ48" s="3"/>
      <c r="CS48" s="3"/>
      <c r="CT48" s="3"/>
      <c r="CY48" s="3"/>
      <c r="CZ48" s="3"/>
      <c r="DB48" s="3"/>
      <c r="DC48" s="3"/>
    </row>
    <row r="49" spans="4:107" ht="16.5" x14ac:dyDescent="0.25">
      <c r="D49" s="68"/>
      <c r="E49" s="98" t="s">
        <v>87</v>
      </c>
      <c r="F49" s="69" t="s">
        <v>198</v>
      </c>
      <c r="G49" s="48">
        <v>116</v>
      </c>
      <c r="H49" s="48"/>
      <c r="I49" s="70"/>
      <c r="M49"/>
      <c r="N49"/>
      <c r="O49"/>
      <c r="P49"/>
      <c r="Q49"/>
      <c r="R49"/>
      <c r="V49" s="3"/>
      <c r="W49" s="40"/>
      <c r="Y49" s="3"/>
      <c r="Z49" s="3"/>
      <c r="AA49" s="3"/>
      <c r="AE49" s="3"/>
      <c r="AF49" s="3"/>
      <c r="AH49" s="3"/>
      <c r="AI49" s="3"/>
      <c r="AJ49" s="3"/>
      <c r="AN49" s="3"/>
      <c r="AO49" s="3"/>
      <c r="AQ49" s="3"/>
      <c r="AR49" s="3"/>
      <c r="AW49" s="3"/>
      <c r="AX49" s="3"/>
      <c r="AZ49" s="3"/>
      <c r="BA49" s="3"/>
      <c r="BF49" s="3"/>
      <c r="BG49" s="3"/>
      <c r="BI49" s="3"/>
      <c r="BJ49" s="3"/>
      <c r="BO49" s="3"/>
      <c r="BP49" s="3"/>
      <c r="BR49" s="3"/>
      <c r="BS49" s="3"/>
      <c r="BX49" s="3"/>
      <c r="BY49" s="3"/>
      <c r="CA49" s="3"/>
      <c r="CB49" s="3"/>
      <c r="CC49" s="3"/>
      <c r="CG49" s="3"/>
      <c r="CH49" s="3"/>
      <c r="CJ49" s="3"/>
      <c r="CK49" s="3"/>
      <c r="CP49" s="3"/>
      <c r="CQ49" s="3"/>
      <c r="CS49" s="3"/>
      <c r="CT49" s="3"/>
      <c r="CY49" s="3"/>
      <c r="CZ49" s="3"/>
      <c r="DB49" s="3"/>
      <c r="DC49" s="3"/>
    </row>
    <row r="50" spans="4:107" ht="16.5" x14ac:dyDescent="0.25">
      <c r="D50" s="68"/>
      <c r="E50" s="80"/>
      <c r="F50" s="69" t="s">
        <v>199</v>
      </c>
      <c r="G50" s="48">
        <v>89</v>
      </c>
      <c r="H50" s="48"/>
      <c r="I50" s="70"/>
      <c r="M50"/>
      <c r="N50"/>
      <c r="O50"/>
      <c r="P50"/>
      <c r="Q50"/>
      <c r="R50"/>
      <c r="V50" s="3"/>
      <c r="W50" s="40"/>
      <c r="Y50" s="3"/>
      <c r="Z50" s="3"/>
      <c r="AA50" s="3"/>
      <c r="AE50" s="3"/>
      <c r="AF50" s="3"/>
      <c r="AH50" s="3"/>
      <c r="AI50" s="3"/>
      <c r="AJ50" s="3"/>
      <c r="AN50" s="3"/>
      <c r="AO50" s="3"/>
      <c r="AQ50" s="3"/>
      <c r="AR50" s="3"/>
      <c r="AW50" s="3"/>
      <c r="AX50" s="3"/>
      <c r="AZ50" s="3"/>
      <c r="BA50" s="3"/>
      <c r="BF50" s="3"/>
      <c r="BG50" s="3"/>
      <c r="BI50" s="3"/>
      <c r="BJ50" s="3"/>
      <c r="BO50" s="3"/>
      <c r="BP50" s="3"/>
      <c r="BR50" s="3"/>
      <c r="BS50" s="3"/>
      <c r="BX50" s="3"/>
      <c r="BY50" s="3"/>
      <c r="CA50" s="3"/>
      <c r="CB50" s="3"/>
      <c r="CC50" s="3"/>
      <c r="CG50" s="3"/>
      <c r="CH50" s="3"/>
      <c r="CJ50" s="3"/>
      <c r="CK50" s="3"/>
      <c r="CP50" s="3"/>
      <c r="CQ50" s="3"/>
      <c r="CS50" s="3"/>
      <c r="CT50" s="3"/>
      <c r="CY50" s="3"/>
      <c r="CZ50" s="3"/>
      <c r="DB50" s="3"/>
      <c r="DC50" s="3"/>
    </row>
    <row r="51" spans="4:107" ht="16.5" x14ac:dyDescent="0.25">
      <c r="D51" s="68"/>
      <c r="E51" s="80"/>
      <c r="F51" s="69" t="s">
        <v>200</v>
      </c>
      <c r="G51" s="48"/>
      <c r="H51" s="48">
        <v>205</v>
      </c>
      <c r="I51" s="70"/>
      <c r="M51"/>
      <c r="N51"/>
      <c r="O51"/>
      <c r="P51"/>
      <c r="Q51"/>
      <c r="R51"/>
      <c r="V51" s="3"/>
      <c r="W51" s="40"/>
      <c r="Y51" s="3"/>
      <c r="Z51" s="3"/>
      <c r="AA51" s="3"/>
      <c r="AE51" s="3"/>
      <c r="AF51" s="3"/>
      <c r="AH51" s="3"/>
      <c r="AI51" s="3"/>
      <c r="AJ51" s="3"/>
      <c r="AN51" s="3"/>
      <c r="AO51" s="3"/>
      <c r="AQ51" s="3"/>
      <c r="AR51" s="3"/>
      <c r="AW51" s="3"/>
      <c r="AX51" s="3"/>
      <c r="AZ51" s="3"/>
      <c r="BA51" s="3"/>
      <c r="BF51" s="3"/>
      <c r="BG51" s="3"/>
      <c r="BI51" s="3"/>
      <c r="BJ51" s="3"/>
      <c r="BO51" s="3"/>
      <c r="BP51" s="3"/>
      <c r="BR51" s="3"/>
      <c r="BS51" s="3"/>
      <c r="BX51" s="3"/>
      <c r="BY51" s="3"/>
      <c r="CA51" s="3"/>
      <c r="CB51" s="3"/>
      <c r="CC51" s="3"/>
      <c r="CG51" s="3"/>
      <c r="CH51" s="3"/>
      <c r="CJ51" s="3"/>
      <c r="CK51" s="3"/>
      <c r="CP51" s="3"/>
      <c r="CQ51" s="3"/>
      <c r="CS51" s="3"/>
      <c r="CT51" s="3"/>
      <c r="CY51" s="3"/>
      <c r="CZ51" s="3"/>
      <c r="DB51" s="3"/>
      <c r="DC51" s="3"/>
    </row>
    <row r="52" spans="4:107" ht="16.5" x14ac:dyDescent="0.25">
      <c r="D52" s="68">
        <v>1</v>
      </c>
      <c r="E52" s="80">
        <v>9</v>
      </c>
      <c r="F52" s="69" t="s">
        <v>46</v>
      </c>
      <c r="G52" s="48">
        <v>116</v>
      </c>
      <c r="H52" s="48"/>
      <c r="I52" s="70"/>
      <c r="M52"/>
      <c r="N52"/>
      <c r="O52"/>
      <c r="P52"/>
      <c r="Q52"/>
      <c r="R52"/>
      <c r="V52" s="3"/>
      <c r="W52" s="40"/>
      <c r="Y52" s="3"/>
      <c r="Z52" s="3"/>
      <c r="AA52" s="3"/>
      <c r="AE52" s="3"/>
      <c r="AF52" s="3"/>
      <c r="AH52" s="3"/>
      <c r="AI52" s="3"/>
      <c r="AJ52" s="3"/>
      <c r="AN52" s="3"/>
      <c r="AO52" s="3"/>
      <c r="AQ52" s="3"/>
      <c r="AR52" s="3"/>
      <c r="AW52" s="3"/>
      <c r="AX52" s="3"/>
      <c r="AZ52" s="3"/>
      <c r="BA52" s="3"/>
      <c r="BF52" s="3"/>
      <c r="BG52" s="3"/>
      <c r="BI52" s="3"/>
      <c r="BJ52" s="3"/>
      <c r="BO52" s="3"/>
      <c r="BP52" s="3"/>
      <c r="BR52" s="3"/>
      <c r="BS52" s="3"/>
      <c r="BX52" s="3"/>
      <c r="BY52" s="3"/>
      <c r="CA52" s="3"/>
      <c r="CB52" s="3"/>
      <c r="CC52" s="3"/>
      <c r="CG52" s="3"/>
      <c r="CH52" s="3"/>
      <c r="CJ52" s="3"/>
      <c r="CK52" s="3"/>
      <c r="CP52" s="3"/>
      <c r="CQ52" s="3"/>
      <c r="CS52" s="3"/>
      <c r="CT52" s="3"/>
      <c r="CY52" s="3"/>
      <c r="CZ52" s="3"/>
      <c r="DB52" s="3"/>
      <c r="DC52" s="3"/>
    </row>
    <row r="53" spans="4:107" ht="16.5" x14ac:dyDescent="0.25">
      <c r="D53" s="68"/>
      <c r="E53" s="80"/>
      <c r="F53" s="69" t="s">
        <v>168</v>
      </c>
      <c r="G53" s="48"/>
      <c r="H53" s="48">
        <v>116</v>
      </c>
      <c r="I53" s="70"/>
      <c r="M53"/>
      <c r="N53"/>
      <c r="O53"/>
      <c r="P53"/>
      <c r="Q53"/>
      <c r="R53"/>
      <c r="V53" s="3"/>
      <c r="W53" s="40"/>
      <c r="Y53" s="3"/>
      <c r="Z53" s="3"/>
      <c r="AA53" s="3"/>
      <c r="AE53" s="3"/>
      <c r="AF53" s="3"/>
      <c r="AH53" s="3"/>
      <c r="AI53" s="3"/>
      <c r="AJ53" s="3"/>
      <c r="AN53" s="3"/>
      <c r="AO53" s="3"/>
      <c r="AQ53" s="3"/>
      <c r="AR53" s="3"/>
      <c r="AW53" s="3"/>
      <c r="AX53" s="3"/>
      <c r="AZ53" s="3"/>
      <c r="BA53" s="3"/>
      <c r="BF53" s="3"/>
      <c r="BG53" s="3"/>
      <c r="BI53" s="3"/>
      <c r="BJ53" s="3"/>
      <c r="BO53" s="3"/>
      <c r="BP53" s="3"/>
      <c r="BR53" s="3"/>
      <c r="BS53" s="3"/>
      <c r="BX53" s="3"/>
      <c r="BY53" s="3"/>
      <c r="CA53" s="3"/>
      <c r="CB53" s="3"/>
      <c r="CC53" s="3"/>
      <c r="CG53" s="3"/>
      <c r="CH53" s="3"/>
      <c r="CJ53" s="3"/>
      <c r="CK53" s="3"/>
      <c r="CP53" s="3"/>
      <c r="CQ53" s="3"/>
      <c r="CS53" s="3"/>
      <c r="CT53" s="3"/>
      <c r="CY53" s="3"/>
      <c r="CZ53" s="3"/>
      <c r="DB53" s="3"/>
      <c r="DC53" s="3"/>
    </row>
    <row r="54" spans="4:107" ht="16.5" x14ac:dyDescent="0.25">
      <c r="D54" s="68"/>
      <c r="E54" s="98" t="s">
        <v>87</v>
      </c>
      <c r="F54" s="69" t="s">
        <v>201</v>
      </c>
      <c r="G54" s="48">
        <v>104</v>
      </c>
      <c r="H54" s="48"/>
      <c r="I54" s="70"/>
      <c r="M54"/>
      <c r="N54"/>
      <c r="O54"/>
      <c r="P54"/>
      <c r="Q54"/>
      <c r="R54"/>
      <c r="V54" s="3"/>
      <c r="W54" s="40"/>
      <c r="Y54" s="3"/>
      <c r="Z54" s="3"/>
      <c r="AA54" s="3"/>
      <c r="AE54" s="3"/>
      <c r="AF54" s="3"/>
      <c r="AH54" s="3"/>
      <c r="AI54" s="3"/>
      <c r="AJ54" s="3"/>
      <c r="AN54" s="3"/>
      <c r="AO54" s="3"/>
      <c r="AQ54" s="3"/>
      <c r="AR54" s="3"/>
      <c r="AW54" s="3"/>
      <c r="AX54" s="3"/>
      <c r="AZ54" s="3"/>
      <c r="BA54" s="3"/>
      <c r="BF54" s="3"/>
      <c r="BG54" s="3"/>
      <c r="BI54" s="3"/>
      <c r="BJ54" s="3"/>
      <c r="BO54" s="3"/>
      <c r="BP54" s="3"/>
      <c r="BR54" s="3"/>
      <c r="BS54" s="3"/>
      <c r="BX54" s="3"/>
      <c r="BY54" s="3"/>
      <c r="CA54" s="3"/>
      <c r="CB54" s="3"/>
      <c r="CC54" s="3"/>
      <c r="CG54" s="3"/>
      <c r="CH54" s="3"/>
      <c r="CJ54" s="3"/>
      <c r="CK54" s="3"/>
      <c r="CP54" s="3"/>
      <c r="CQ54" s="3"/>
      <c r="CS54" s="3"/>
      <c r="CT54" s="3"/>
      <c r="CY54" s="3"/>
      <c r="CZ54" s="3"/>
      <c r="DB54" s="3"/>
      <c r="DC54" s="3"/>
    </row>
    <row r="55" spans="4:107" ht="16.5" x14ac:dyDescent="0.25">
      <c r="D55" s="68"/>
      <c r="E55" s="80"/>
      <c r="F55" s="69" t="s">
        <v>202</v>
      </c>
      <c r="G55" s="48"/>
      <c r="H55" s="48">
        <v>104</v>
      </c>
      <c r="I55" s="70"/>
      <c r="M55"/>
      <c r="N55"/>
      <c r="O55"/>
      <c r="P55"/>
      <c r="Q55"/>
      <c r="R55"/>
      <c r="V55" s="3"/>
      <c r="W55" s="40"/>
      <c r="Y55" s="3"/>
      <c r="Z55" s="3"/>
      <c r="AA55" s="3"/>
      <c r="AE55" s="3"/>
      <c r="AF55" s="3"/>
      <c r="AH55" s="3"/>
      <c r="AI55" s="3"/>
      <c r="AJ55" s="3"/>
      <c r="AN55" s="3"/>
      <c r="AO55" s="3"/>
      <c r="AQ55" s="3"/>
      <c r="AR55" s="3"/>
      <c r="AW55" s="3"/>
      <c r="AX55" s="3"/>
      <c r="AZ55" s="3"/>
      <c r="BA55" s="3"/>
      <c r="BF55" s="3"/>
      <c r="BG55" s="3"/>
      <c r="BI55" s="3"/>
      <c r="BJ55" s="3"/>
      <c r="BO55" s="3"/>
      <c r="BP55" s="3"/>
      <c r="BR55" s="3"/>
      <c r="BS55" s="3"/>
      <c r="BX55" s="3"/>
      <c r="BY55" s="3"/>
      <c r="CA55" s="3"/>
      <c r="CB55" s="3"/>
      <c r="CC55" s="3"/>
      <c r="CG55" s="3"/>
      <c r="CH55" s="3"/>
      <c r="CJ55" s="3"/>
      <c r="CK55" s="3"/>
      <c r="CP55" s="3"/>
      <c r="CQ55" s="3"/>
      <c r="CS55" s="3"/>
      <c r="CT55" s="3"/>
      <c r="CY55" s="3"/>
      <c r="CZ55" s="3"/>
      <c r="DB55" s="3"/>
      <c r="DC55" s="3"/>
    </row>
    <row r="56" spans="4:107" ht="16.5" x14ac:dyDescent="0.25">
      <c r="D56" s="68"/>
      <c r="E56" s="98" t="s">
        <v>87</v>
      </c>
      <c r="F56" s="69" t="s">
        <v>203</v>
      </c>
      <c r="G56" s="48">
        <v>116</v>
      </c>
      <c r="H56" s="48"/>
      <c r="I56" s="70"/>
      <c r="M56"/>
      <c r="N56"/>
      <c r="O56"/>
      <c r="P56"/>
      <c r="Q56"/>
      <c r="R56"/>
      <c r="V56" s="3"/>
      <c r="W56" s="40"/>
      <c r="Y56" s="3"/>
      <c r="Z56" s="3"/>
      <c r="AA56" s="3"/>
      <c r="AE56" s="3"/>
      <c r="AF56" s="3"/>
      <c r="AH56" s="3"/>
      <c r="AI56" s="3"/>
      <c r="AJ56" s="3"/>
      <c r="AN56" s="3"/>
      <c r="AO56" s="3"/>
      <c r="AQ56" s="3"/>
      <c r="AR56" s="3"/>
      <c r="AW56" s="3"/>
      <c r="AX56" s="3"/>
      <c r="AZ56" s="3"/>
      <c r="BA56" s="3"/>
      <c r="BF56" s="3"/>
      <c r="BG56" s="3"/>
      <c r="BI56" s="3"/>
      <c r="BJ56" s="3"/>
      <c r="BO56" s="3"/>
      <c r="BP56" s="3"/>
      <c r="BR56" s="3"/>
      <c r="BS56" s="3"/>
      <c r="BX56" s="3"/>
      <c r="BY56" s="3"/>
      <c r="CA56" s="3"/>
      <c r="CB56" s="3"/>
      <c r="CC56" s="3"/>
      <c r="CG56" s="3"/>
      <c r="CH56" s="3"/>
      <c r="CJ56" s="3"/>
      <c r="CK56" s="3"/>
      <c r="CP56" s="3"/>
      <c r="CQ56" s="3"/>
      <c r="CS56" s="3"/>
      <c r="CT56" s="3"/>
      <c r="CY56" s="3"/>
      <c r="CZ56" s="3"/>
      <c r="DB56" s="3"/>
      <c r="DC56" s="3"/>
    </row>
    <row r="57" spans="4:107" ht="16.5" x14ac:dyDescent="0.25">
      <c r="D57" s="68"/>
      <c r="E57" s="80"/>
      <c r="F57" s="69" t="s">
        <v>204</v>
      </c>
      <c r="G57" s="48">
        <v>104</v>
      </c>
      <c r="H57" s="48"/>
      <c r="I57" s="70"/>
      <c r="M57"/>
      <c r="N57"/>
      <c r="O57"/>
      <c r="P57"/>
      <c r="Q57"/>
      <c r="R57"/>
      <c r="V57" s="3"/>
      <c r="W57" s="40"/>
      <c r="Y57" s="3"/>
      <c r="Z57" s="3"/>
      <c r="AA57" s="3"/>
      <c r="AE57" s="3"/>
      <c r="AF57" s="3"/>
      <c r="AH57" s="3"/>
      <c r="AI57" s="3"/>
      <c r="AJ57" s="3"/>
      <c r="AN57" s="3"/>
      <c r="AO57" s="3"/>
      <c r="AQ57" s="3"/>
      <c r="AR57" s="3"/>
      <c r="AW57" s="3"/>
      <c r="AX57" s="3"/>
      <c r="AZ57" s="3"/>
      <c r="BA57" s="3"/>
      <c r="BF57" s="3"/>
      <c r="BG57" s="3"/>
      <c r="BI57" s="3"/>
      <c r="BJ57" s="3"/>
      <c r="BO57" s="3"/>
      <c r="BP57" s="3"/>
      <c r="BR57" s="3"/>
      <c r="BS57" s="3"/>
      <c r="BX57" s="3"/>
      <c r="BY57" s="3"/>
      <c r="CA57" s="3"/>
      <c r="CB57" s="3"/>
      <c r="CC57" s="3"/>
      <c r="CG57" s="3"/>
      <c r="CH57" s="3"/>
      <c r="CJ57" s="3"/>
      <c r="CK57" s="3"/>
      <c r="CP57" s="3"/>
      <c r="CQ57" s="3"/>
      <c r="CS57" s="3"/>
      <c r="CT57" s="3"/>
      <c r="CY57" s="3"/>
      <c r="CZ57" s="3"/>
      <c r="DB57" s="3"/>
      <c r="DC57" s="3"/>
    </row>
    <row r="58" spans="4:107" ht="16.5" x14ac:dyDescent="0.25">
      <c r="D58" s="68"/>
      <c r="E58" s="80"/>
      <c r="F58" s="69" t="s">
        <v>205</v>
      </c>
      <c r="G58" s="48"/>
      <c r="H58" s="48">
        <v>220</v>
      </c>
      <c r="I58" s="70"/>
      <c r="M58"/>
      <c r="N58"/>
      <c r="O58"/>
      <c r="P58"/>
      <c r="Q58"/>
      <c r="R58"/>
      <c r="V58" s="3"/>
      <c r="W58" s="40"/>
      <c r="Y58" s="3"/>
      <c r="Z58" s="3"/>
      <c r="AA58" s="3"/>
      <c r="AE58" s="3"/>
      <c r="AF58" s="3"/>
      <c r="AH58" s="3"/>
      <c r="AI58" s="3"/>
      <c r="AJ58" s="3"/>
      <c r="AN58" s="3"/>
      <c r="AO58" s="3"/>
      <c r="AQ58" s="3"/>
      <c r="AR58" s="3"/>
      <c r="AW58" s="3"/>
      <c r="AX58" s="3"/>
      <c r="AZ58" s="3"/>
      <c r="BA58" s="3"/>
      <c r="BF58" s="3"/>
      <c r="BG58" s="3"/>
      <c r="BI58" s="3"/>
      <c r="BJ58" s="3"/>
      <c r="BO58" s="3"/>
      <c r="BP58" s="3"/>
      <c r="BR58" s="3"/>
      <c r="BS58" s="3"/>
      <c r="BX58" s="3"/>
      <c r="BY58" s="3"/>
      <c r="CA58" s="3"/>
      <c r="CB58" s="3"/>
      <c r="CC58" s="3"/>
      <c r="CG58" s="3"/>
      <c r="CH58" s="3"/>
      <c r="CJ58" s="3"/>
      <c r="CK58" s="3"/>
      <c r="CP58" s="3"/>
      <c r="CQ58" s="3"/>
      <c r="CS58" s="3"/>
      <c r="CT58" s="3"/>
      <c r="CY58" s="3"/>
      <c r="CZ58" s="3"/>
      <c r="DB58" s="3"/>
      <c r="DC58" s="3"/>
    </row>
    <row r="59" spans="4:107" ht="16.5" x14ac:dyDescent="0.25">
      <c r="D59" s="68"/>
      <c r="E59" s="80"/>
      <c r="F59" s="69"/>
      <c r="G59" s="48"/>
      <c r="H59" s="48"/>
      <c r="I59" s="70"/>
      <c r="M59"/>
      <c r="N59"/>
      <c r="O59"/>
      <c r="P59"/>
      <c r="Q59"/>
      <c r="R59"/>
      <c r="V59" s="3"/>
      <c r="W59" s="40"/>
      <c r="Y59" s="3"/>
      <c r="Z59" s="3"/>
      <c r="AA59" s="3"/>
      <c r="AE59" s="3"/>
      <c r="AF59" s="3"/>
      <c r="AH59" s="3"/>
      <c r="AI59" s="3"/>
      <c r="AJ59" s="3"/>
      <c r="AN59" s="3"/>
      <c r="AO59" s="3"/>
      <c r="AQ59" s="3"/>
      <c r="AR59" s="3"/>
      <c r="AW59" s="3"/>
      <c r="AX59" s="3"/>
      <c r="AZ59" s="3"/>
      <c r="BA59" s="3"/>
      <c r="BF59" s="3"/>
      <c r="BG59" s="3"/>
      <c r="BI59" s="3"/>
      <c r="BJ59" s="3"/>
      <c r="BO59" s="3"/>
      <c r="BP59" s="3"/>
      <c r="BR59" s="3"/>
      <c r="BS59" s="3"/>
      <c r="BX59" s="3"/>
      <c r="BY59" s="3"/>
      <c r="CA59" s="3"/>
      <c r="CB59" s="3"/>
      <c r="CC59" s="3"/>
      <c r="CG59" s="3"/>
      <c r="CH59" s="3"/>
      <c r="CJ59" s="3"/>
      <c r="CK59" s="3"/>
      <c r="CP59" s="3"/>
      <c r="CQ59" s="3"/>
      <c r="CS59" s="3"/>
      <c r="CT59" s="3"/>
      <c r="CY59" s="3"/>
      <c r="CZ59" s="3"/>
      <c r="DB59" s="3"/>
      <c r="DC59" s="3"/>
    </row>
    <row r="60" spans="4:107" ht="16.5" x14ac:dyDescent="0.25">
      <c r="D60" s="68"/>
      <c r="E60" s="80"/>
      <c r="F60" s="69"/>
      <c r="G60" s="48"/>
      <c r="H60" s="48"/>
      <c r="I60" s="70"/>
      <c r="M60"/>
      <c r="N60"/>
      <c r="O60"/>
      <c r="P60"/>
      <c r="Q60"/>
      <c r="R60"/>
      <c r="V60" s="3"/>
      <c r="W60" s="40"/>
      <c r="Y60" s="3"/>
      <c r="Z60" s="3"/>
      <c r="AA60" s="3"/>
      <c r="AE60" s="3"/>
      <c r="AF60" s="3"/>
      <c r="AH60" s="3"/>
      <c r="AI60" s="3"/>
      <c r="AJ60" s="3"/>
      <c r="AN60" s="3"/>
      <c r="AO60" s="3"/>
      <c r="AQ60" s="3"/>
      <c r="AR60" s="3"/>
      <c r="AW60" s="3"/>
      <c r="AX60" s="3"/>
      <c r="AZ60" s="3"/>
      <c r="BA60" s="3"/>
      <c r="BF60" s="3"/>
      <c r="BG60" s="3"/>
      <c r="BI60" s="3"/>
      <c r="BJ60" s="3"/>
      <c r="BO60" s="3"/>
      <c r="BP60" s="3"/>
      <c r="BR60" s="3"/>
      <c r="BS60" s="3"/>
      <c r="BX60" s="3"/>
      <c r="BY60" s="3"/>
      <c r="CA60" s="3"/>
      <c r="CB60" s="3"/>
      <c r="CC60" s="3"/>
      <c r="CG60" s="3"/>
      <c r="CH60" s="3"/>
      <c r="CJ60" s="3"/>
      <c r="CK60" s="3"/>
      <c r="CP60" s="3"/>
      <c r="CQ60" s="3"/>
      <c r="CS60" s="3"/>
      <c r="CT60" s="3"/>
      <c r="CY60" s="3"/>
      <c r="CZ60" s="3"/>
      <c r="DB60" s="3"/>
      <c r="DC60" s="3"/>
    </row>
    <row r="61" spans="4:107" ht="16.5" x14ac:dyDescent="0.25">
      <c r="D61" s="68"/>
      <c r="E61" s="80"/>
      <c r="F61" s="69"/>
      <c r="G61" s="48"/>
      <c r="H61" s="48"/>
      <c r="I61" s="70"/>
      <c r="M61"/>
      <c r="N61"/>
      <c r="O61"/>
      <c r="P61"/>
      <c r="Q61"/>
      <c r="R61"/>
      <c r="V61" s="3"/>
      <c r="W61" s="40"/>
      <c r="Y61" s="3"/>
      <c r="Z61" s="3"/>
      <c r="AA61" s="3"/>
      <c r="AE61" s="3"/>
      <c r="AF61" s="3"/>
      <c r="AH61" s="3"/>
      <c r="AI61" s="3"/>
      <c r="AJ61" s="3"/>
      <c r="AN61" s="3"/>
      <c r="AO61" s="3"/>
      <c r="AQ61" s="3"/>
      <c r="AR61" s="3"/>
      <c r="AW61" s="3"/>
      <c r="AX61" s="3"/>
      <c r="AZ61" s="3"/>
      <c r="BA61" s="3"/>
      <c r="BF61" s="3"/>
      <c r="BG61" s="3"/>
      <c r="BI61" s="3"/>
      <c r="BJ61" s="3"/>
      <c r="BO61" s="3"/>
      <c r="BP61" s="3"/>
      <c r="BR61" s="3"/>
      <c r="BS61" s="3"/>
      <c r="BX61" s="3"/>
      <c r="BY61" s="3"/>
      <c r="CA61" s="3"/>
      <c r="CB61" s="3"/>
      <c r="CC61" s="3"/>
      <c r="CG61" s="3"/>
      <c r="CH61" s="3"/>
      <c r="CJ61" s="3"/>
      <c r="CK61" s="3"/>
      <c r="CP61" s="3"/>
      <c r="CQ61" s="3"/>
      <c r="CS61" s="3"/>
      <c r="CT61" s="3"/>
      <c r="CY61" s="3"/>
      <c r="CZ61" s="3"/>
      <c r="DB61" s="3"/>
      <c r="DC61" s="3"/>
    </row>
    <row r="62" spans="4:107" ht="17.25" thickBot="1" x14ac:dyDescent="0.3">
      <c r="D62" s="65"/>
      <c r="E62" s="81"/>
      <c r="F62" s="66"/>
      <c r="G62" s="12"/>
      <c r="H62" s="12"/>
      <c r="I62" s="67"/>
      <c r="M62"/>
      <c r="N62"/>
      <c r="O62"/>
      <c r="P62"/>
      <c r="Q62"/>
      <c r="R62"/>
      <c r="V62" s="3"/>
      <c r="W62" s="40"/>
      <c r="Y62" s="3"/>
      <c r="Z62" s="3"/>
      <c r="AA62" s="3"/>
      <c r="AE62" s="3"/>
      <c r="AF62" s="3"/>
      <c r="AH62" s="3"/>
      <c r="AI62" s="3"/>
      <c r="AJ62" s="3"/>
      <c r="AN62" s="3"/>
      <c r="AO62" s="3"/>
      <c r="AQ62" s="3"/>
      <c r="AR62" s="3"/>
      <c r="AW62" s="3"/>
      <c r="AX62" s="3"/>
      <c r="AZ62" s="3"/>
      <c r="BA62" s="3"/>
      <c r="BF62" s="3"/>
      <c r="BG62" s="3"/>
      <c r="BI62" s="3"/>
      <c r="BJ62" s="3"/>
      <c r="BO62" s="3"/>
      <c r="BP62" s="3"/>
      <c r="BR62" s="3"/>
      <c r="BS62" s="3"/>
      <c r="BX62" s="3"/>
      <c r="BY62" s="3"/>
      <c r="CA62" s="3"/>
      <c r="CB62" s="3"/>
      <c r="CC62" s="3"/>
      <c r="CG62" s="3"/>
      <c r="CH62" s="3"/>
      <c r="CJ62" s="3"/>
      <c r="CK62" s="3"/>
      <c r="CP62" s="3"/>
      <c r="CQ62" s="3"/>
      <c r="CS62" s="3"/>
      <c r="CT62" s="3"/>
      <c r="CY62" s="3"/>
      <c r="CZ62" s="3"/>
      <c r="DB62" s="3"/>
      <c r="DC62" s="3"/>
    </row>
    <row r="63" spans="4:107" ht="17.25" thickTop="1" x14ac:dyDescent="0.25">
      <c r="D63" s="40" t="s">
        <v>14</v>
      </c>
      <c r="E63" s="40"/>
      <c r="G63" s="3"/>
      <c r="H63" s="3"/>
      <c r="I63" s="3"/>
      <c r="M63"/>
      <c r="N63"/>
      <c r="O63"/>
      <c r="P63"/>
      <c r="Q63"/>
      <c r="R63"/>
      <c r="V63" s="3"/>
      <c r="W63" s="40"/>
      <c r="Y63" s="3"/>
      <c r="Z63" s="3"/>
      <c r="AA63" s="3"/>
      <c r="AE63" s="3"/>
      <c r="AF63" s="3"/>
      <c r="AH63" s="3"/>
      <c r="AI63" s="3"/>
      <c r="AJ63" s="3"/>
      <c r="AN63" s="3"/>
      <c r="AO63" s="3"/>
      <c r="AQ63" s="3"/>
      <c r="AR63" s="3"/>
      <c r="AW63" s="3"/>
      <c r="AX63" s="3"/>
      <c r="AZ63" s="3"/>
      <c r="BA63" s="3"/>
      <c r="BF63" s="3"/>
      <c r="BG63" s="3"/>
      <c r="BI63" s="3"/>
      <c r="BJ63" s="3"/>
      <c r="BO63" s="3"/>
      <c r="BP63" s="3"/>
      <c r="BR63" s="3"/>
      <c r="BS63" s="3"/>
      <c r="BX63" s="3"/>
      <c r="BY63" s="3"/>
      <c r="CA63" s="3"/>
      <c r="CB63" s="3"/>
      <c r="CC63" s="3"/>
      <c r="CG63" s="3"/>
      <c r="CH63" s="3"/>
      <c r="CJ63" s="3"/>
      <c r="CK63" s="3"/>
      <c r="CP63" s="3"/>
      <c r="CQ63" s="3"/>
      <c r="CS63" s="3"/>
      <c r="CT63" s="3"/>
      <c r="CY63" s="3"/>
      <c r="CZ63" s="3"/>
      <c r="DB63" s="3"/>
      <c r="DC63" s="3"/>
    </row>
    <row r="64" spans="4:107" ht="16.5" x14ac:dyDescent="0.25">
      <c r="D64" s="3"/>
      <c r="E64" s="40"/>
      <c r="G64" s="3"/>
      <c r="H64" s="3"/>
      <c r="I64" s="3"/>
      <c r="M64"/>
      <c r="N64"/>
      <c r="O64"/>
      <c r="P64"/>
      <c r="Q64"/>
      <c r="R64"/>
      <c r="V64" s="3"/>
      <c r="W64" s="40"/>
      <c r="Y64" s="3"/>
      <c r="Z64" s="3"/>
      <c r="AA64" s="3"/>
      <c r="AE64" s="3"/>
      <c r="AF64" s="3"/>
      <c r="AH64" s="3"/>
      <c r="AI64" s="3"/>
      <c r="AJ64" s="3"/>
      <c r="AN64" s="3"/>
      <c r="AO64" s="3"/>
      <c r="AQ64" s="3"/>
      <c r="AR64" s="3"/>
      <c r="AW64" s="3"/>
      <c r="AX64" s="3"/>
      <c r="AZ64" s="3"/>
      <c r="BA64" s="3"/>
      <c r="BF64" s="3"/>
      <c r="BG64" s="3"/>
      <c r="BI64" s="3"/>
      <c r="BJ64" s="3"/>
      <c r="BO64" s="3"/>
      <c r="BP64" s="3"/>
      <c r="BR64" s="3"/>
      <c r="BS64" s="3"/>
      <c r="BX64" s="3"/>
      <c r="BY64" s="3"/>
      <c r="CA64" s="3"/>
      <c r="CB64" s="3"/>
      <c r="CC64" s="3"/>
      <c r="CG64" s="3"/>
      <c r="CH64" s="3"/>
      <c r="CJ64" s="3"/>
      <c r="CK64" s="3"/>
      <c r="CP64" s="3"/>
      <c r="CQ64" s="3"/>
      <c r="CS64" s="3"/>
      <c r="CT64" s="3"/>
      <c r="CY64" s="3"/>
      <c r="CZ64" s="3"/>
      <c r="DB64" s="3"/>
      <c r="DC64" s="3"/>
    </row>
    <row r="65" spans="4:107" ht="16.5" x14ac:dyDescent="0.25">
      <c r="D65" s="3"/>
      <c r="E65" s="40"/>
      <c r="G65" s="3"/>
      <c r="H65" s="3"/>
      <c r="I65" s="3"/>
      <c r="M65"/>
      <c r="N65"/>
      <c r="O65"/>
      <c r="P65"/>
      <c r="Q65"/>
      <c r="R65"/>
      <c r="V65" s="3"/>
      <c r="W65" s="40"/>
      <c r="Y65" s="3"/>
      <c r="Z65" s="3"/>
      <c r="AA65" s="3"/>
      <c r="AE65" s="3"/>
      <c r="AF65" s="3"/>
      <c r="AH65" s="3"/>
      <c r="AI65" s="3"/>
      <c r="AJ65" s="3"/>
      <c r="AN65" s="3"/>
      <c r="AO65" s="3"/>
      <c r="AQ65" s="3"/>
      <c r="AR65" s="3"/>
      <c r="AW65" s="3"/>
      <c r="AX65" s="3"/>
      <c r="AZ65" s="3"/>
      <c r="BA65" s="3"/>
      <c r="BF65" s="3"/>
      <c r="BG65" s="3"/>
      <c r="BI65" s="3"/>
      <c r="BJ65" s="3"/>
      <c r="BO65" s="3"/>
      <c r="BP65" s="3"/>
      <c r="BR65" s="3"/>
      <c r="BS65" s="3"/>
      <c r="BX65" s="3"/>
      <c r="BY65" s="3"/>
      <c r="CA65" s="3"/>
      <c r="CB65" s="3"/>
      <c r="CC65" s="3"/>
      <c r="CG65" s="3"/>
      <c r="CH65" s="3"/>
      <c r="CJ65" s="3"/>
      <c r="CK65" s="3"/>
      <c r="CP65" s="3"/>
      <c r="CQ65" s="3"/>
      <c r="CS65" s="3"/>
      <c r="CT65" s="3"/>
      <c r="CY65" s="3"/>
      <c r="CZ65" s="3"/>
      <c r="DB65" s="3"/>
      <c r="DC65" s="3"/>
    </row>
    <row r="66" spans="4:107" ht="16.5" x14ac:dyDescent="0.25">
      <c r="D66" s="3"/>
      <c r="E66" s="40"/>
      <c r="G66" s="3"/>
      <c r="H66" s="3"/>
      <c r="I66" s="3"/>
      <c r="M66"/>
      <c r="N66"/>
      <c r="O66"/>
      <c r="P66"/>
      <c r="Q66"/>
      <c r="R66"/>
      <c r="V66" s="3"/>
      <c r="W66" s="40"/>
      <c r="Y66" s="3"/>
      <c r="Z66" s="3"/>
      <c r="AA66" s="3"/>
      <c r="AE66" s="3"/>
      <c r="AF66" s="3"/>
      <c r="AH66" s="3"/>
      <c r="AI66" s="3"/>
      <c r="AJ66" s="3"/>
      <c r="AN66" s="3"/>
      <c r="AO66" s="3"/>
      <c r="AQ66" s="3"/>
      <c r="AR66" s="3"/>
      <c r="AW66" s="3"/>
      <c r="AX66" s="3"/>
      <c r="AZ66" s="3"/>
      <c r="BA66" s="3"/>
      <c r="BF66" s="3"/>
      <c r="BG66" s="3"/>
      <c r="BI66" s="3"/>
      <c r="BJ66" s="3"/>
      <c r="BO66" s="3"/>
      <c r="BP66" s="3"/>
      <c r="BR66" s="3"/>
      <c r="BS66" s="3"/>
      <c r="BX66" s="3"/>
      <c r="BY66" s="3"/>
      <c r="CA66" s="3"/>
      <c r="CB66" s="3"/>
      <c r="CC66" s="3"/>
      <c r="CG66" s="3"/>
      <c r="CH66" s="3"/>
      <c r="CJ66" s="3"/>
      <c r="CK66" s="3"/>
      <c r="CP66" s="3"/>
      <c r="CQ66" s="3"/>
      <c r="CS66" s="3"/>
      <c r="CT66" s="3"/>
      <c r="CY66" s="3"/>
      <c r="CZ66" s="3"/>
      <c r="DB66" s="3"/>
      <c r="DC66" s="3"/>
    </row>
    <row r="67" spans="4:107" ht="16.5" x14ac:dyDescent="0.25">
      <c r="D67" s="3"/>
      <c r="E67" s="40"/>
      <c r="G67" s="3"/>
      <c r="H67" s="3"/>
      <c r="I67" s="3"/>
      <c r="M67"/>
      <c r="N67"/>
      <c r="O67"/>
      <c r="P67"/>
      <c r="Q67"/>
      <c r="R67"/>
      <c r="V67" s="3"/>
      <c r="W67" s="40"/>
      <c r="Y67" s="3"/>
      <c r="Z67" s="3"/>
      <c r="AA67" s="3"/>
      <c r="AE67" s="3"/>
      <c r="AF67" s="3"/>
      <c r="AH67" s="3"/>
      <c r="AI67" s="3"/>
      <c r="AJ67" s="3"/>
      <c r="AN67" s="3"/>
      <c r="AO67" s="3"/>
      <c r="AQ67" s="3"/>
      <c r="AR67" s="3"/>
      <c r="AW67" s="3"/>
      <c r="AX67" s="3"/>
      <c r="AZ67" s="3"/>
      <c r="BA67" s="3"/>
      <c r="BF67" s="3"/>
      <c r="BG67" s="3"/>
      <c r="BI67" s="3"/>
      <c r="BJ67" s="3"/>
      <c r="BO67" s="3"/>
      <c r="BP67" s="3"/>
      <c r="BR67" s="3"/>
      <c r="BS67" s="3"/>
      <c r="BX67" s="3"/>
      <c r="BY67" s="3"/>
      <c r="CA67" s="3"/>
      <c r="CB67" s="3"/>
      <c r="CC67" s="3"/>
      <c r="CG67" s="3"/>
      <c r="CH67" s="3"/>
      <c r="CJ67" s="3"/>
      <c r="CK67" s="3"/>
      <c r="CP67" s="3"/>
      <c r="CQ67" s="3"/>
      <c r="CS67" s="3"/>
      <c r="CT67" s="3"/>
      <c r="CY67" s="3"/>
      <c r="CZ67" s="3"/>
      <c r="DB67" s="3"/>
      <c r="DC67" s="3"/>
    </row>
    <row r="68" spans="4:107" ht="16.5" x14ac:dyDescent="0.25">
      <c r="D68" s="3"/>
      <c r="E68" s="40"/>
      <c r="G68" s="3"/>
      <c r="H68" s="3"/>
      <c r="I68" s="3"/>
      <c r="M68"/>
      <c r="N68"/>
      <c r="O68"/>
      <c r="P68"/>
      <c r="Q68"/>
      <c r="R68"/>
      <c r="V68" s="3"/>
      <c r="W68" s="40"/>
      <c r="Y68" s="3"/>
      <c r="Z68" s="3"/>
      <c r="AA68" s="3"/>
      <c r="AE68" s="3"/>
      <c r="AF68" s="3"/>
      <c r="AH68" s="3"/>
      <c r="AI68" s="3"/>
      <c r="AJ68" s="3"/>
      <c r="AN68" s="3"/>
      <c r="AO68" s="3"/>
      <c r="AQ68" s="3"/>
      <c r="AR68" s="3"/>
      <c r="AW68" s="3"/>
      <c r="AX68" s="3"/>
      <c r="AZ68" s="3"/>
      <c r="BA68" s="3"/>
      <c r="BF68" s="3"/>
      <c r="BG68" s="3"/>
      <c r="BI68" s="3"/>
      <c r="BJ68" s="3"/>
      <c r="BO68" s="3"/>
      <c r="BP68" s="3"/>
      <c r="BR68" s="3"/>
      <c r="BS68" s="3"/>
      <c r="BX68" s="3"/>
      <c r="BY68" s="3"/>
      <c r="CA68" s="3"/>
      <c r="CB68" s="3"/>
      <c r="CC68" s="3"/>
      <c r="CG68" s="3"/>
      <c r="CH68" s="3"/>
      <c r="CJ68" s="3"/>
      <c r="CK68" s="3"/>
      <c r="CP68" s="3"/>
      <c r="CQ68" s="3"/>
      <c r="CS68" s="3"/>
      <c r="CT68" s="3"/>
      <c r="CY68" s="3"/>
      <c r="CZ68" s="3"/>
      <c r="DB68" s="3"/>
      <c r="DC68" s="3"/>
    </row>
    <row r="69" spans="4:107" ht="16.5" x14ac:dyDescent="0.25">
      <c r="D69" s="3"/>
      <c r="E69" s="40"/>
      <c r="G69" s="3"/>
      <c r="H69" s="3"/>
      <c r="I69" s="3"/>
      <c r="M69"/>
      <c r="N69"/>
      <c r="O69"/>
      <c r="P69"/>
      <c r="Q69"/>
      <c r="R69"/>
      <c r="V69" s="3"/>
      <c r="W69" s="40"/>
      <c r="Y69" s="3"/>
      <c r="Z69" s="3"/>
      <c r="AA69" s="3"/>
      <c r="AE69" s="3"/>
      <c r="AF69" s="3"/>
      <c r="AH69" s="3"/>
      <c r="AI69" s="3"/>
      <c r="AJ69" s="3"/>
      <c r="AN69" s="3"/>
      <c r="AO69" s="3"/>
      <c r="AQ69" s="3"/>
      <c r="AR69" s="3"/>
      <c r="AW69" s="3"/>
      <c r="AX69" s="3"/>
      <c r="AZ69" s="3"/>
      <c r="BA69" s="3"/>
      <c r="BF69" s="3"/>
      <c r="BG69" s="3"/>
      <c r="BI69" s="3"/>
      <c r="BJ69" s="3"/>
      <c r="BO69" s="3"/>
      <c r="BP69" s="3"/>
      <c r="BR69" s="3"/>
      <c r="BS69" s="3"/>
      <c r="BX69" s="3"/>
      <c r="BY69" s="3"/>
      <c r="CA69" s="3"/>
      <c r="CB69" s="3"/>
      <c r="CC69" s="3"/>
      <c r="CG69" s="3"/>
      <c r="CH69" s="3"/>
      <c r="CJ69" s="3"/>
      <c r="CK69" s="3"/>
      <c r="CP69" s="3"/>
      <c r="CQ69" s="3"/>
      <c r="CS69" s="3"/>
      <c r="CT69" s="3"/>
      <c r="CY69" s="3"/>
      <c r="CZ69" s="3"/>
      <c r="DB69" s="3"/>
      <c r="DC69" s="3"/>
    </row>
    <row r="70" spans="4:107" ht="16.5" x14ac:dyDescent="0.25">
      <c r="D70" s="3"/>
      <c r="E70" s="40"/>
      <c r="G70" s="3"/>
      <c r="H70" s="3"/>
      <c r="I70" s="3"/>
      <c r="M70"/>
      <c r="N70"/>
      <c r="O70"/>
      <c r="P70"/>
      <c r="Q70"/>
      <c r="R70"/>
      <c r="V70" s="3"/>
      <c r="W70" s="40"/>
      <c r="Y70" s="3"/>
      <c r="Z70" s="3"/>
      <c r="AA70" s="3"/>
      <c r="AE70" s="3"/>
      <c r="AF70" s="3"/>
      <c r="AH70" s="3"/>
      <c r="AI70" s="3"/>
      <c r="AJ70" s="3"/>
      <c r="AN70" s="3"/>
      <c r="AO70" s="3"/>
      <c r="AQ70" s="3"/>
      <c r="AR70" s="3"/>
      <c r="AW70" s="3"/>
      <c r="AX70" s="3"/>
      <c r="AZ70" s="3"/>
      <c r="BA70" s="3"/>
      <c r="BF70" s="3"/>
      <c r="BG70" s="3"/>
      <c r="BI70" s="3"/>
      <c r="BJ70" s="3"/>
      <c r="BO70" s="3"/>
      <c r="BP70" s="3"/>
      <c r="BR70" s="3"/>
      <c r="BS70" s="3"/>
      <c r="BX70" s="3"/>
      <c r="BY70" s="3"/>
      <c r="CA70" s="3"/>
      <c r="CB70" s="3"/>
      <c r="CC70" s="3"/>
      <c r="CG70" s="3"/>
      <c r="CH70" s="3"/>
      <c r="CJ70" s="3"/>
      <c r="CK70" s="3"/>
      <c r="CP70" s="3"/>
      <c r="CQ70" s="3"/>
      <c r="CS70" s="3"/>
      <c r="CT70" s="3"/>
      <c r="CY70" s="3"/>
      <c r="CZ70" s="3"/>
      <c r="DB70" s="3"/>
      <c r="DC70" s="3"/>
    </row>
    <row r="71" spans="4:107" ht="16.5" x14ac:dyDescent="0.25">
      <c r="D71" s="3"/>
      <c r="E71" s="40"/>
      <c r="G71" s="3"/>
      <c r="H71" s="3"/>
      <c r="I71" s="3"/>
      <c r="M71"/>
      <c r="N71"/>
      <c r="O71"/>
      <c r="P71"/>
      <c r="Q71"/>
      <c r="R71"/>
      <c r="V71" s="3"/>
      <c r="W71" s="40"/>
      <c r="Y71" s="3"/>
      <c r="Z71" s="3"/>
      <c r="AA71" s="3"/>
      <c r="AE71" s="3"/>
      <c r="AF71" s="3"/>
      <c r="AH71" s="3"/>
      <c r="AI71" s="3"/>
      <c r="AJ71" s="3"/>
      <c r="AN71" s="3"/>
      <c r="AO71" s="3"/>
      <c r="AQ71" s="3"/>
      <c r="AR71" s="3"/>
      <c r="AW71" s="3"/>
      <c r="AX71" s="3"/>
      <c r="AZ71" s="3"/>
      <c r="BA71" s="3"/>
      <c r="BF71" s="3"/>
      <c r="BG71" s="3"/>
      <c r="BI71" s="3"/>
      <c r="BJ71" s="3"/>
      <c r="BO71" s="3"/>
      <c r="BP71" s="3"/>
      <c r="BR71" s="3"/>
      <c r="BS71" s="3"/>
      <c r="BX71" s="3"/>
      <c r="BY71" s="3"/>
      <c r="CA71" s="3"/>
      <c r="CB71" s="3"/>
      <c r="CC71" s="3"/>
      <c r="CG71" s="3"/>
      <c r="CH71" s="3"/>
      <c r="CJ71" s="3"/>
      <c r="CK71" s="3"/>
      <c r="CP71" s="3"/>
      <c r="CQ71" s="3"/>
      <c r="CS71" s="3"/>
      <c r="CT71" s="3"/>
      <c r="CY71" s="3"/>
      <c r="CZ71" s="3"/>
      <c r="DB71" s="3"/>
      <c r="DC71" s="3"/>
    </row>
    <row r="72" spans="4:107" ht="16.5" x14ac:dyDescent="0.25">
      <c r="D72" s="3"/>
      <c r="E72" s="40"/>
      <c r="G72" s="3"/>
      <c r="H72" s="3"/>
      <c r="I72" s="3"/>
      <c r="M72"/>
      <c r="N72"/>
      <c r="O72"/>
      <c r="P72"/>
      <c r="Q72"/>
      <c r="R72"/>
      <c r="V72" s="3"/>
      <c r="W72" s="40"/>
      <c r="Y72" s="3"/>
      <c r="Z72" s="3"/>
      <c r="AA72" s="3"/>
      <c r="AE72" s="3"/>
      <c r="AF72" s="3"/>
      <c r="AH72" s="3"/>
      <c r="AI72" s="3"/>
      <c r="AJ72" s="3"/>
      <c r="AN72" s="3"/>
      <c r="AO72" s="3"/>
      <c r="AQ72" s="3"/>
      <c r="AR72" s="3"/>
      <c r="AW72" s="3"/>
      <c r="AX72" s="3"/>
      <c r="AZ72" s="3"/>
      <c r="BA72" s="3"/>
      <c r="BF72" s="3"/>
      <c r="BG72" s="3"/>
      <c r="BI72" s="3"/>
      <c r="BJ72" s="3"/>
      <c r="BO72" s="3"/>
      <c r="BP72" s="3"/>
      <c r="BR72" s="3"/>
      <c r="BS72" s="3"/>
      <c r="BX72" s="3"/>
      <c r="BY72" s="3"/>
      <c r="CA72" s="3"/>
      <c r="CB72" s="3"/>
      <c r="CC72" s="3"/>
      <c r="CG72" s="3"/>
      <c r="CH72" s="3"/>
      <c r="CJ72" s="3"/>
      <c r="CK72" s="3"/>
      <c r="CP72" s="3"/>
      <c r="CQ72" s="3"/>
      <c r="CS72" s="3"/>
      <c r="CT72" s="3"/>
      <c r="CY72" s="3"/>
      <c r="CZ72" s="3"/>
      <c r="DB72" s="3"/>
      <c r="DC72" s="3"/>
    </row>
    <row r="73" spans="4:107" ht="16.5" x14ac:dyDescent="0.25">
      <c r="D73" s="3"/>
      <c r="E73" s="40"/>
      <c r="G73" s="3"/>
      <c r="H73" s="3"/>
      <c r="I73" s="3"/>
      <c r="M73"/>
      <c r="N73"/>
      <c r="O73"/>
      <c r="P73"/>
      <c r="Q73"/>
      <c r="R73"/>
      <c r="V73" s="3"/>
      <c r="W73" s="40"/>
      <c r="Y73" s="3"/>
      <c r="Z73" s="3"/>
      <c r="AA73" s="3"/>
      <c r="AE73" s="3"/>
      <c r="AF73" s="3"/>
      <c r="AH73" s="3"/>
      <c r="AI73" s="3"/>
      <c r="AJ73" s="3"/>
      <c r="AN73" s="3"/>
      <c r="AO73" s="3"/>
      <c r="AQ73" s="3"/>
      <c r="AR73" s="3"/>
      <c r="AW73" s="3"/>
      <c r="AX73" s="3"/>
      <c r="AZ73" s="3"/>
      <c r="BA73" s="3"/>
      <c r="BF73" s="3"/>
      <c r="BG73" s="3"/>
      <c r="BI73" s="3"/>
      <c r="BJ73" s="3"/>
      <c r="BO73" s="3"/>
      <c r="BP73" s="3"/>
      <c r="BR73" s="3"/>
      <c r="BS73" s="3"/>
      <c r="BX73" s="3"/>
      <c r="BY73" s="3"/>
      <c r="CA73" s="3"/>
      <c r="CB73" s="3"/>
      <c r="CC73" s="3"/>
      <c r="CG73" s="3"/>
      <c r="CH73" s="3"/>
      <c r="CJ73" s="3"/>
      <c r="CK73" s="3"/>
      <c r="CP73" s="3"/>
      <c r="CQ73" s="3"/>
      <c r="CS73" s="3"/>
      <c r="CT73" s="3"/>
      <c r="CY73" s="3"/>
      <c r="CZ73" s="3"/>
      <c r="DB73" s="3"/>
      <c r="DC73" s="3"/>
    </row>
    <row r="74" spans="4:107" ht="16.5" x14ac:dyDescent="0.25">
      <c r="D74" s="3"/>
      <c r="E74" s="40"/>
      <c r="G74" s="3"/>
      <c r="H74" s="3"/>
      <c r="I74" s="3"/>
      <c r="M74"/>
      <c r="N74"/>
      <c r="O74"/>
      <c r="P74"/>
      <c r="Q74"/>
      <c r="R74"/>
      <c r="V74" s="3"/>
      <c r="W74" s="40"/>
      <c r="Y74" s="3"/>
      <c r="Z74" s="3"/>
      <c r="AA74" s="3"/>
      <c r="AE74" s="3"/>
      <c r="AF74" s="3"/>
      <c r="AH74" s="3"/>
      <c r="AI74" s="3"/>
      <c r="AJ74" s="3"/>
      <c r="AN74" s="3"/>
      <c r="AO74" s="3"/>
      <c r="AQ74" s="3"/>
      <c r="AR74" s="3"/>
      <c r="AW74" s="3"/>
      <c r="AX74" s="3"/>
      <c r="AZ74" s="3"/>
      <c r="BA74" s="3"/>
      <c r="BF74" s="3"/>
      <c r="BG74" s="3"/>
      <c r="BI74" s="3"/>
      <c r="BJ74" s="3"/>
      <c r="BO74" s="3"/>
      <c r="BP74" s="3"/>
      <c r="BR74" s="3"/>
      <c r="BS74" s="3"/>
      <c r="BX74" s="3"/>
      <c r="BY74" s="3"/>
      <c r="CA74" s="3"/>
      <c r="CB74" s="3"/>
      <c r="CC74" s="3"/>
      <c r="CG74" s="3"/>
      <c r="CH74" s="3"/>
      <c r="CJ74" s="3"/>
      <c r="CK74" s="3"/>
      <c r="CP74" s="3"/>
      <c r="CQ74" s="3"/>
      <c r="CS74" s="3"/>
      <c r="CT74" s="3"/>
      <c r="CY74" s="3"/>
      <c r="CZ74" s="3"/>
      <c r="DB74" s="3"/>
      <c r="DC74" s="3"/>
    </row>
    <row r="75" spans="4:107" ht="16.5" x14ac:dyDescent="0.25">
      <c r="D75" s="3"/>
      <c r="E75" s="40"/>
      <c r="G75" s="3"/>
      <c r="H75" s="3"/>
      <c r="I75" s="3"/>
      <c r="M75"/>
      <c r="N75"/>
      <c r="O75"/>
      <c r="P75"/>
      <c r="Q75"/>
      <c r="R75"/>
      <c r="V75" s="3"/>
      <c r="W75" s="40"/>
      <c r="Y75" s="3"/>
      <c r="Z75" s="3"/>
      <c r="AA75" s="3"/>
      <c r="AE75" s="3"/>
      <c r="AF75" s="3"/>
      <c r="AH75" s="3"/>
      <c r="AI75" s="3"/>
      <c r="AJ75" s="3"/>
      <c r="AN75" s="3"/>
      <c r="AO75" s="3"/>
      <c r="AQ75" s="3"/>
      <c r="AR75" s="3"/>
      <c r="AW75" s="3"/>
      <c r="AX75" s="3"/>
      <c r="AZ75" s="3"/>
      <c r="BA75" s="3"/>
      <c r="BF75" s="3"/>
      <c r="BG75" s="3"/>
      <c r="BI75" s="3"/>
      <c r="BJ75" s="3"/>
      <c r="BO75" s="3"/>
      <c r="BP75" s="3"/>
      <c r="BR75" s="3"/>
      <c r="BS75" s="3"/>
      <c r="BX75" s="3"/>
      <c r="BY75" s="3"/>
      <c r="CA75" s="3"/>
      <c r="CB75" s="3"/>
      <c r="CC75" s="3"/>
      <c r="CG75" s="3"/>
      <c r="CH75" s="3"/>
      <c r="CJ75" s="3"/>
      <c r="CK75" s="3"/>
      <c r="CP75" s="3"/>
      <c r="CQ75" s="3"/>
      <c r="CS75" s="3"/>
      <c r="CT75" s="3"/>
      <c r="CY75" s="3"/>
      <c r="CZ75" s="3"/>
      <c r="DB75" s="3"/>
      <c r="DC75" s="3"/>
    </row>
    <row r="76" spans="4:107" ht="16.5" x14ac:dyDescent="0.25">
      <c r="D76" s="3"/>
      <c r="E76" s="40"/>
      <c r="G76" s="3"/>
      <c r="H76" s="3"/>
      <c r="I76" s="3"/>
      <c r="M76"/>
      <c r="N76"/>
      <c r="O76"/>
      <c r="P76"/>
      <c r="Q76"/>
      <c r="R76"/>
      <c r="V76" s="3"/>
      <c r="W76" s="40"/>
      <c r="Y76" s="3"/>
      <c r="Z76" s="3"/>
      <c r="AA76" s="3"/>
      <c r="AE76" s="3"/>
      <c r="AF76" s="3"/>
      <c r="AH76" s="3"/>
      <c r="AI76" s="3"/>
      <c r="AJ76" s="3"/>
      <c r="AN76" s="3"/>
      <c r="AO76" s="3"/>
      <c r="AQ76" s="3"/>
      <c r="AR76" s="3"/>
      <c r="AW76" s="3"/>
      <c r="AX76" s="3"/>
      <c r="AZ76" s="3"/>
      <c r="BA76" s="3"/>
      <c r="BF76" s="3"/>
      <c r="BG76" s="3"/>
      <c r="BI76" s="3"/>
      <c r="BJ76" s="3"/>
      <c r="BO76" s="3"/>
      <c r="BP76" s="3"/>
      <c r="BR76" s="3"/>
      <c r="BS76" s="3"/>
      <c r="BX76" s="3"/>
      <c r="BY76" s="3"/>
      <c r="CA76" s="3"/>
      <c r="CB76" s="3"/>
      <c r="CC76" s="3"/>
      <c r="CG76" s="3"/>
      <c r="CH76" s="3"/>
      <c r="CJ76" s="3"/>
      <c r="CK76" s="3"/>
      <c r="CP76" s="3"/>
      <c r="CQ76" s="3"/>
      <c r="CS76" s="3"/>
      <c r="CT76" s="3"/>
      <c r="CY76" s="3"/>
      <c r="CZ76" s="3"/>
      <c r="DB76" s="3"/>
      <c r="DC76" s="3"/>
    </row>
    <row r="77" spans="4:107" ht="16.5" x14ac:dyDescent="0.25">
      <c r="D77" s="3"/>
      <c r="E77" s="40"/>
      <c r="G77" s="3"/>
      <c r="H77" s="3"/>
      <c r="I77" s="3"/>
      <c r="M77"/>
      <c r="N77"/>
      <c r="O77"/>
      <c r="P77"/>
      <c r="Q77"/>
      <c r="R77"/>
      <c r="V77" s="3"/>
      <c r="W77" s="40"/>
      <c r="Y77" s="3"/>
      <c r="Z77" s="3"/>
      <c r="AA77" s="3"/>
      <c r="AE77" s="3"/>
      <c r="AF77" s="3"/>
      <c r="AH77" s="3"/>
      <c r="AI77" s="3"/>
      <c r="AJ77" s="3"/>
      <c r="AN77" s="3"/>
      <c r="AO77" s="3"/>
      <c r="AQ77" s="3"/>
      <c r="AR77" s="3"/>
      <c r="AW77" s="3"/>
      <c r="AX77" s="3"/>
      <c r="AZ77" s="3"/>
      <c r="BA77" s="3"/>
      <c r="BF77" s="3"/>
      <c r="BG77" s="3"/>
      <c r="BI77" s="3"/>
      <c r="BJ77" s="3"/>
      <c r="BO77" s="3"/>
      <c r="BP77" s="3"/>
      <c r="BR77" s="3"/>
      <c r="BS77" s="3"/>
      <c r="BX77" s="3"/>
      <c r="BY77" s="3"/>
      <c r="CA77" s="3"/>
      <c r="CB77" s="3"/>
      <c r="CC77" s="3"/>
      <c r="CG77" s="3"/>
      <c r="CH77" s="3"/>
      <c r="CJ77" s="3"/>
      <c r="CK77" s="3"/>
      <c r="CP77" s="3"/>
      <c r="CQ77" s="3"/>
      <c r="CS77" s="3"/>
      <c r="CT77" s="3"/>
      <c r="CY77" s="3"/>
      <c r="CZ77" s="3"/>
      <c r="DB77" s="3"/>
      <c r="DC77" s="3"/>
    </row>
    <row r="78" spans="4:107" ht="16.5" x14ac:dyDescent="0.25">
      <c r="D78" s="3"/>
      <c r="E78" s="40"/>
      <c r="G78" s="3"/>
      <c r="H78" s="3"/>
      <c r="I78" s="3"/>
      <c r="M78"/>
      <c r="N78"/>
      <c r="O78"/>
      <c r="P78"/>
      <c r="Q78"/>
      <c r="R78"/>
      <c r="V78" s="3"/>
      <c r="W78" s="40"/>
      <c r="Y78" s="3"/>
      <c r="Z78" s="3"/>
      <c r="AA78" s="3"/>
      <c r="AE78" s="3"/>
      <c r="AF78" s="3"/>
      <c r="AH78" s="3"/>
      <c r="AI78" s="3"/>
      <c r="AJ78" s="3"/>
      <c r="AN78" s="3"/>
      <c r="AO78" s="3"/>
      <c r="AQ78" s="3"/>
      <c r="AR78" s="3"/>
      <c r="AW78" s="3"/>
      <c r="AX78" s="3"/>
      <c r="AZ78" s="3"/>
      <c r="BA78" s="3"/>
      <c r="BF78" s="3"/>
      <c r="BG78" s="3"/>
      <c r="BI78" s="3"/>
      <c r="BJ78" s="3"/>
      <c r="BO78" s="3"/>
      <c r="BP78" s="3"/>
      <c r="BR78" s="3"/>
      <c r="BS78" s="3"/>
      <c r="BX78" s="3"/>
      <c r="BY78" s="3"/>
      <c r="CA78" s="3"/>
      <c r="CB78" s="3"/>
      <c r="CC78" s="3"/>
      <c r="CG78" s="3"/>
      <c r="CH78" s="3"/>
      <c r="CJ78" s="3"/>
      <c r="CK78" s="3"/>
      <c r="CP78" s="3"/>
      <c r="CQ78" s="3"/>
      <c r="CS78" s="3"/>
      <c r="CT78" s="3"/>
      <c r="CY78" s="3"/>
      <c r="CZ78" s="3"/>
      <c r="DB78" s="3"/>
      <c r="DC78" s="3"/>
    </row>
    <row r="79" spans="4:107" ht="16.5" x14ac:dyDescent="0.25">
      <c r="D79" s="3"/>
      <c r="E79" s="40"/>
      <c r="G79" s="3"/>
      <c r="H79" s="3"/>
      <c r="I79" s="3"/>
      <c r="M79"/>
      <c r="N79"/>
      <c r="O79"/>
      <c r="P79"/>
      <c r="Q79"/>
      <c r="R79"/>
      <c r="V79" s="3"/>
      <c r="W79" s="40"/>
      <c r="Y79" s="3"/>
      <c r="Z79" s="3"/>
      <c r="AA79" s="3"/>
      <c r="AE79" s="3"/>
      <c r="AF79" s="3"/>
      <c r="AH79" s="3"/>
      <c r="AI79" s="3"/>
      <c r="AJ79" s="3"/>
      <c r="AN79" s="3"/>
      <c r="AO79" s="3"/>
      <c r="AQ79" s="3"/>
      <c r="AR79" s="3"/>
      <c r="AW79" s="3"/>
      <c r="AX79" s="3"/>
      <c r="AZ79" s="3"/>
      <c r="BA79" s="3"/>
      <c r="BF79" s="3"/>
      <c r="BG79" s="3"/>
      <c r="BI79" s="3"/>
      <c r="BJ79" s="3"/>
      <c r="BO79" s="3"/>
      <c r="BP79" s="3"/>
      <c r="BR79" s="3"/>
      <c r="BS79" s="3"/>
      <c r="BX79" s="3"/>
      <c r="BY79" s="3"/>
      <c r="CA79" s="3"/>
      <c r="CB79" s="3"/>
      <c r="CC79" s="3"/>
      <c r="CG79" s="3"/>
      <c r="CH79" s="3"/>
      <c r="CJ79" s="3"/>
      <c r="CK79" s="3"/>
      <c r="CP79" s="3"/>
      <c r="CQ79" s="3"/>
      <c r="CS79" s="3"/>
      <c r="CT79" s="3"/>
      <c r="CY79" s="3"/>
      <c r="CZ79" s="3"/>
      <c r="DB79" s="3"/>
      <c r="DC79" s="3"/>
    </row>
    <row r="80" spans="4:107" ht="16.5" x14ac:dyDescent="0.25">
      <c r="D80" s="3"/>
      <c r="E80" s="40"/>
      <c r="G80" s="3"/>
      <c r="H80" s="3"/>
      <c r="I80" s="3"/>
      <c r="M80"/>
      <c r="N80"/>
      <c r="O80"/>
      <c r="P80"/>
      <c r="Q80"/>
      <c r="R80"/>
      <c r="V80" s="3"/>
      <c r="W80" s="40"/>
      <c r="Y80" s="3"/>
      <c r="Z80" s="3"/>
      <c r="AA80" s="3"/>
      <c r="AE80" s="3"/>
      <c r="AF80" s="3"/>
      <c r="AH80" s="3"/>
      <c r="AI80" s="3"/>
      <c r="AJ80" s="3"/>
      <c r="AN80" s="3"/>
      <c r="AO80" s="3"/>
      <c r="AQ80" s="3"/>
      <c r="AR80" s="3"/>
      <c r="AW80" s="3"/>
      <c r="AX80" s="3"/>
      <c r="AZ80" s="3"/>
      <c r="BA80" s="3"/>
      <c r="BF80" s="3"/>
      <c r="BG80" s="3"/>
      <c r="BI80" s="3"/>
      <c r="BJ80" s="3"/>
      <c r="BO80" s="3"/>
      <c r="BP80" s="3"/>
      <c r="BR80" s="3"/>
      <c r="BS80" s="3"/>
      <c r="BX80" s="3"/>
      <c r="BY80" s="3"/>
      <c r="CA80" s="3"/>
      <c r="CB80" s="3"/>
      <c r="CC80" s="3"/>
      <c r="CG80" s="3"/>
      <c r="CH80" s="3"/>
      <c r="CJ80" s="3"/>
      <c r="CK80" s="3"/>
      <c r="CP80" s="3"/>
      <c r="CQ80" s="3"/>
      <c r="CS80" s="3"/>
      <c r="CT80" s="3"/>
      <c r="CY80" s="3"/>
      <c r="CZ80" s="3"/>
      <c r="DB80" s="3"/>
      <c r="DC80" s="3"/>
    </row>
    <row r="81" spans="4:107" ht="16.5" x14ac:dyDescent="0.25">
      <c r="D81" s="3"/>
      <c r="E81" s="40"/>
      <c r="G81" s="3"/>
      <c r="H81" s="3"/>
      <c r="I81" s="3"/>
      <c r="M81"/>
      <c r="N81"/>
      <c r="O81"/>
      <c r="P81"/>
      <c r="Q81"/>
      <c r="R81"/>
      <c r="V81" s="3"/>
      <c r="W81" s="40"/>
      <c r="Y81" s="3"/>
      <c r="Z81" s="3"/>
      <c r="AA81" s="3"/>
      <c r="AE81" s="3"/>
      <c r="AF81" s="3"/>
      <c r="AH81" s="3"/>
      <c r="AI81" s="3"/>
      <c r="AJ81" s="3"/>
      <c r="AN81" s="3"/>
      <c r="AO81" s="3"/>
      <c r="AQ81" s="3"/>
      <c r="AR81" s="3"/>
      <c r="AW81" s="3"/>
      <c r="AX81" s="3"/>
      <c r="AZ81" s="3"/>
      <c r="BA81" s="3"/>
      <c r="BF81" s="3"/>
      <c r="BG81" s="3"/>
      <c r="BI81" s="3"/>
      <c r="BJ81" s="3"/>
      <c r="BO81" s="3"/>
      <c r="BP81" s="3"/>
      <c r="BR81" s="3"/>
      <c r="BS81" s="3"/>
      <c r="BX81" s="3"/>
      <c r="BY81" s="3"/>
      <c r="CA81" s="3"/>
      <c r="CB81" s="3"/>
      <c r="CC81" s="3"/>
      <c r="CG81" s="3"/>
      <c r="CH81" s="3"/>
      <c r="CJ81" s="3"/>
      <c r="CK81" s="3"/>
      <c r="CP81" s="3"/>
      <c r="CQ81" s="3"/>
      <c r="CS81" s="3"/>
      <c r="CT81" s="3"/>
      <c r="CY81" s="3"/>
      <c r="CZ81" s="3"/>
      <c r="DB81" s="3"/>
      <c r="DC81" s="3"/>
    </row>
    <row r="82" spans="4:107" x14ac:dyDescent="0.25">
      <c r="D82" s="3"/>
      <c r="E82" s="40"/>
      <c r="G82" s="3"/>
      <c r="H82" s="3"/>
      <c r="I82" s="3"/>
      <c r="N82" s="40"/>
      <c r="P82" s="3"/>
      <c r="Q82" s="3"/>
      <c r="R82" s="3"/>
      <c r="V82" s="3"/>
      <c r="W82" s="40"/>
      <c r="Y82" s="3"/>
      <c r="Z82" s="3"/>
      <c r="AA82" s="3"/>
      <c r="AE82" s="3"/>
      <c r="AF82" s="3"/>
      <c r="AH82" s="3"/>
      <c r="AI82" s="3"/>
      <c r="AJ82" s="3"/>
      <c r="AN82" s="3"/>
      <c r="AO82" s="3"/>
      <c r="AQ82" s="3"/>
      <c r="AR82" s="3"/>
      <c r="AW82" s="3"/>
      <c r="AX82" s="3"/>
      <c r="AZ82" s="3"/>
      <c r="BA82" s="3"/>
      <c r="BF82" s="3"/>
      <c r="BG82" s="3"/>
      <c r="BI82" s="3"/>
      <c r="BJ82" s="3"/>
      <c r="BO82" s="3"/>
      <c r="BP82" s="3"/>
      <c r="BR82" s="3"/>
      <c r="BS82" s="3"/>
      <c r="BX82" s="3"/>
      <c r="BY82" s="3"/>
      <c r="CA82" s="3"/>
      <c r="CB82" s="3"/>
      <c r="CC82" s="3"/>
      <c r="CG82" s="3"/>
      <c r="CH82" s="3"/>
      <c r="CJ82" s="3"/>
      <c r="CK82" s="3"/>
      <c r="CP82" s="3"/>
      <c r="CQ82" s="3"/>
      <c r="CS82" s="3"/>
      <c r="CT82" s="3"/>
      <c r="CY82" s="3"/>
      <c r="CZ82" s="3"/>
      <c r="DB82" s="3"/>
      <c r="DC82" s="3"/>
    </row>
    <row r="83" spans="4:107" x14ac:dyDescent="0.25">
      <c r="D83" s="3"/>
      <c r="E83" s="40"/>
      <c r="G83" s="3"/>
      <c r="H83" s="3"/>
      <c r="I83" s="3"/>
      <c r="M83" s="3"/>
      <c r="N83" s="40"/>
      <c r="P83" s="3"/>
      <c r="Q83" s="3"/>
      <c r="R83" s="3"/>
      <c r="V83" s="3"/>
      <c r="W83" s="40"/>
      <c r="Y83" s="3"/>
      <c r="Z83" s="3"/>
      <c r="AA83" s="3"/>
      <c r="AE83" s="3"/>
      <c r="AF83" s="3"/>
      <c r="AH83" s="3"/>
      <c r="AI83" s="3"/>
      <c r="AJ83" s="3"/>
      <c r="AN83" s="3"/>
      <c r="AO83" s="3"/>
      <c r="AQ83" s="3"/>
      <c r="AR83" s="3"/>
      <c r="AW83" s="3"/>
      <c r="AX83" s="3"/>
      <c r="AZ83" s="3"/>
      <c r="BA83" s="3"/>
      <c r="BF83" s="3"/>
      <c r="BG83" s="3"/>
      <c r="BI83" s="3"/>
      <c r="BJ83" s="3"/>
      <c r="BO83" s="3"/>
      <c r="BP83" s="3"/>
      <c r="BR83" s="3"/>
      <c r="BS83" s="3"/>
      <c r="BX83" s="3"/>
      <c r="BY83" s="3"/>
      <c r="CA83" s="3"/>
      <c r="CB83" s="3"/>
      <c r="CC83" s="3"/>
      <c r="CG83" s="3"/>
      <c r="CH83" s="3"/>
      <c r="CJ83" s="3"/>
      <c r="CK83" s="3"/>
      <c r="CP83" s="3"/>
      <c r="CQ83" s="3"/>
      <c r="CS83" s="3"/>
      <c r="CT83" s="3"/>
      <c r="CY83" s="3"/>
      <c r="CZ83" s="3"/>
      <c r="DB83" s="3"/>
      <c r="DC83" s="3"/>
    </row>
    <row r="84" spans="4:107" x14ac:dyDescent="0.25">
      <c r="D84" s="3"/>
      <c r="E84" s="40"/>
      <c r="G84" s="3"/>
      <c r="H84" s="3"/>
      <c r="I84" s="3"/>
      <c r="M84" s="3"/>
      <c r="N84" s="40"/>
      <c r="P84" s="3"/>
      <c r="Q84" s="3"/>
      <c r="R84" s="3"/>
      <c r="V84" s="3"/>
      <c r="W84" s="40"/>
      <c r="Y84" s="3"/>
      <c r="Z84" s="3"/>
      <c r="AA84" s="3"/>
      <c r="AE84" s="3"/>
      <c r="AF84" s="3"/>
      <c r="AH84" s="3"/>
      <c r="AI84" s="3"/>
      <c r="AJ84" s="3"/>
      <c r="AN84" s="3"/>
      <c r="AO84" s="3"/>
      <c r="AQ84" s="3"/>
      <c r="AR84" s="3"/>
      <c r="AW84" s="3"/>
      <c r="AX84" s="3"/>
      <c r="AZ84" s="3"/>
      <c r="BA84" s="3"/>
      <c r="BF84" s="3"/>
      <c r="BG84" s="3"/>
      <c r="BI84" s="3"/>
      <c r="BJ84" s="3"/>
      <c r="BO84" s="3"/>
      <c r="BP84" s="3"/>
      <c r="BR84" s="3"/>
      <c r="BS84" s="3"/>
      <c r="BX84" s="3"/>
      <c r="BY84" s="3"/>
      <c r="CA84" s="3"/>
      <c r="CB84" s="3"/>
      <c r="CC84" s="3"/>
      <c r="CG84" s="3"/>
      <c r="CH84" s="3"/>
      <c r="CJ84" s="3"/>
      <c r="CK84" s="3"/>
      <c r="CP84" s="3"/>
      <c r="CQ84" s="3"/>
      <c r="CS84" s="3"/>
      <c r="CT84" s="3"/>
      <c r="CY84" s="3"/>
      <c r="CZ84" s="3"/>
      <c r="DB84" s="3"/>
      <c r="DC84" s="3"/>
    </row>
    <row r="85" spans="4:107" x14ac:dyDescent="0.25">
      <c r="D85" s="3"/>
      <c r="E85" s="40"/>
      <c r="G85" s="3"/>
      <c r="H85" s="3"/>
      <c r="I85" s="3"/>
      <c r="M85" s="3"/>
      <c r="N85" s="40"/>
      <c r="P85" s="3"/>
      <c r="Q85" s="3"/>
      <c r="R85" s="3"/>
      <c r="V85" s="3"/>
      <c r="W85" s="40"/>
      <c r="Y85" s="3"/>
      <c r="Z85" s="3"/>
      <c r="AA85" s="3"/>
      <c r="AE85" s="3"/>
      <c r="AF85" s="3"/>
      <c r="AH85" s="3"/>
      <c r="AI85" s="3"/>
      <c r="AJ85" s="3"/>
      <c r="AN85" s="3"/>
      <c r="AO85" s="3"/>
      <c r="AQ85" s="3"/>
      <c r="AR85" s="3"/>
      <c r="AW85" s="3"/>
      <c r="AX85" s="3"/>
      <c r="AZ85" s="3"/>
      <c r="BA85" s="3"/>
      <c r="BF85" s="3"/>
      <c r="BG85" s="3"/>
      <c r="BI85" s="3"/>
      <c r="BJ85" s="3"/>
      <c r="BO85" s="3"/>
      <c r="BP85" s="3"/>
      <c r="BR85" s="3"/>
      <c r="BS85" s="3"/>
      <c r="BX85" s="3"/>
      <c r="BY85" s="3"/>
      <c r="CA85" s="3"/>
      <c r="CB85" s="3"/>
      <c r="CC85" s="3"/>
      <c r="CG85" s="3"/>
      <c r="CH85" s="3"/>
      <c r="CJ85" s="3"/>
      <c r="CK85" s="3"/>
      <c r="CP85" s="3"/>
      <c r="CQ85" s="3"/>
      <c r="CS85" s="3"/>
      <c r="CT85" s="3"/>
      <c r="CY85" s="3"/>
      <c r="CZ85" s="3"/>
      <c r="DB85" s="3"/>
      <c r="DC85" s="3"/>
    </row>
    <row r="86" spans="4:107" x14ac:dyDescent="0.25">
      <c r="D86" s="3"/>
      <c r="E86" s="40"/>
      <c r="G86" s="3"/>
      <c r="H86" s="3"/>
      <c r="I86" s="3"/>
      <c r="M86" s="3"/>
      <c r="N86" s="40"/>
      <c r="P86" s="3"/>
      <c r="Q86" s="3"/>
      <c r="R86" s="3"/>
      <c r="V86" s="3"/>
      <c r="W86" s="40"/>
      <c r="Y86" s="3"/>
      <c r="Z86" s="3"/>
      <c r="AA86" s="3"/>
      <c r="AE86" s="3"/>
      <c r="AF86" s="3"/>
      <c r="AH86" s="3"/>
      <c r="AI86" s="3"/>
      <c r="AJ86" s="3"/>
      <c r="AN86" s="3"/>
      <c r="AO86" s="3"/>
      <c r="AQ86" s="3"/>
      <c r="AR86" s="3"/>
      <c r="AW86" s="3"/>
      <c r="AX86" s="3"/>
      <c r="AZ86" s="3"/>
      <c r="BA86" s="3"/>
      <c r="BF86" s="3"/>
      <c r="BG86" s="3"/>
      <c r="BI86" s="3"/>
      <c r="BJ86" s="3"/>
      <c r="BO86" s="3"/>
      <c r="BP86" s="3"/>
      <c r="BR86" s="3"/>
      <c r="BS86" s="3"/>
      <c r="BX86" s="3"/>
      <c r="BY86" s="3"/>
      <c r="CA86" s="3"/>
      <c r="CB86" s="3"/>
      <c r="CC86" s="3"/>
      <c r="CG86" s="3"/>
      <c r="CH86" s="3"/>
      <c r="CJ86" s="3"/>
      <c r="CK86" s="3"/>
      <c r="CP86" s="3"/>
      <c r="CQ86" s="3"/>
      <c r="CS86" s="3"/>
      <c r="CT86" s="3"/>
      <c r="CY86" s="3"/>
      <c r="CZ86" s="3"/>
      <c r="DB86" s="3"/>
      <c r="DC86" s="3"/>
    </row>
    <row r="87" spans="4:107" x14ac:dyDescent="0.25">
      <c r="D87" s="3"/>
      <c r="E87" s="40"/>
      <c r="G87" s="3"/>
      <c r="H87" s="3"/>
      <c r="I87" s="3"/>
      <c r="M87" s="3"/>
      <c r="N87" s="40"/>
      <c r="P87" s="3"/>
      <c r="Q87" s="3"/>
      <c r="R87" s="3"/>
      <c r="V87" s="3"/>
      <c r="W87" s="40"/>
      <c r="Y87" s="3"/>
      <c r="Z87" s="3"/>
      <c r="AA87" s="3"/>
      <c r="AE87" s="3"/>
      <c r="AF87" s="3"/>
      <c r="AH87" s="3"/>
      <c r="AI87" s="3"/>
      <c r="AJ87" s="3"/>
      <c r="AN87" s="3"/>
      <c r="AO87" s="3"/>
      <c r="AQ87" s="3"/>
      <c r="AR87" s="3"/>
      <c r="AW87" s="3"/>
      <c r="AX87" s="3"/>
      <c r="AZ87" s="3"/>
      <c r="BA87" s="3"/>
      <c r="BF87" s="3"/>
      <c r="BG87" s="3"/>
      <c r="BI87" s="3"/>
      <c r="BJ87" s="3"/>
      <c r="BO87" s="3"/>
      <c r="BP87" s="3"/>
      <c r="BR87" s="3"/>
      <c r="BS87" s="3"/>
      <c r="BX87" s="3"/>
      <c r="BY87" s="3"/>
      <c r="CA87" s="3"/>
      <c r="CB87" s="3"/>
      <c r="CC87" s="3"/>
      <c r="CG87" s="3"/>
      <c r="CH87" s="3"/>
      <c r="CJ87" s="3"/>
      <c r="CK87" s="3"/>
      <c r="CP87" s="3"/>
      <c r="CQ87" s="3"/>
      <c r="CS87" s="3"/>
      <c r="CT87" s="3"/>
      <c r="CY87" s="3"/>
      <c r="CZ87" s="3"/>
      <c r="DB87" s="3"/>
      <c r="DC87" s="3"/>
    </row>
    <row r="88" spans="4:107" x14ac:dyDescent="0.25">
      <c r="D88" s="3"/>
      <c r="E88" s="40"/>
      <c r="G88" s="3"/>
      <c r="H88" s="3"/>
      <c r="I88" s="3"/>
      <c r="M88" s="3"/>
      <c r="N88" s="40"/>
      <c r="P88" s="3"/>
      <c r="Q88" s="3"/>
      <c r="R88" s="3"/>
      <c r="V88" s="3"/>
      <c r="W88" s="40"/>
      <c r="Y88" s="3"/>
      <c r="Z88" s="3"/>
      <c r="AA88" s="3"/>
      <c r="AE88" s="3"/>
      <c r="AF88" s="3"/>
      <c r="AH88" s="3"/>
      <c r="AI88" s="3"/>
      <c r="AJ88" s="3"/>
      <c r="AN88" s="3"/>
      <c r="AO88" s="3"/>
      <c r="AQ88" s="3"/>
      <c r="AR88" s="3"/>
      <c r="AW88" s="3"/>
      <c r="AX88" s="3"/>
      <c r="AZ88" s="3"/>
      <c r="BA88" s="3"/>
      <c r="BF88" s="3"/>
      <c r="BG88" s="3"/>
      <c r="BI88" s="3"/>
      <c r="BJ88" s="3"/>
      <c r="BO88" s="3"/>
      <c r="BP88" s="3"/>
      <c r="BR88" s="3"/>
      <c r="BS88" s="3"/>
      <c r="BX88" s="3"/>
      <c r="BY88" s="3"/>
      <c r="CA88" s="3"/>
      <c r="CB88" s="3"/>
      <c r="CC88" s="3"/>
      <c r="CG88" s="3"/>
      <c r="CH88" s="3"/>
      <c r="CJ88" s="3"/>
      <c r="CK88" s="3"/>
      <c r="CP88" s="3"/>
      <c r="CQ88" s="3"/>
      <c r="CS88" s="3"/>
      <c r="CT88" s="3"/>
      <c r="CY88" s="3"/>
      <c r="CZ88" s="3"/>
      <c r="DB88" s="3"/>
      <c r="DC88" s="3"/>
    </row>
    <row r="89" spans="4:107" x14ac:dyDescent="0.25">
      <c r="D89" s="3"/>
      <c r="E89" s="40"/>
      <c r="G89" s="3"/>
      <c r="H89" s="3"/>
      <c r="I89" s="3"/>
      <c r="M89" s="3"/>
      <c r="N89" s="40"/>
      <c r="P89" s="3"/>
      <c r="Q89" s="3"/>
      <c r="R89" s="3"/>
      <c r="V89" s="3"/>
      <c r="W89" s="40"/>
      <c r="Y89" s="3"/>
      <c r="Z89" s="3"/>
      <c r="AA89" s="3"/>
      <c r="AE89" s="3"/>
      <c r="AF89" s="3"/>
      <c r="AH89" s="3"/>
      <c r="AI89" s="3"/>
      <c r="AJ89" s="3"/>
      <c r="AN89" s="3"/>
      <c r="AO89" s="3"/>
      <c r="AQ89" s="3"/>
      <c r="AR89" s="3"/>
      <c r="AW89" s="3"/>
      <c r="AX89" s="3"/>
      <c r="AZ89" s="3"/>
      <c r="BA89" s="3"/>
      <c r="BF89" s="3"/>
      <c r="BG89" s="3"/>
      <c r="BI89" s="3"/>
      <c r="BJ89" s="3"/>
      <c r="BO89" s="3"/>
      <c r="BP89" s="3"/>
      <c r="BR89" s="3"/>
      <c r="BS89" s="3"/>
      <c r="BX89" s="3"/>
      <c r="BY89" s="3"/>
      <c r="CA89" s="3"/>
      <c r="CB89" s="3"/>
      <c r="CC89" s="3"/>
      <c r="CG89" s="3"/>
      <c r="CH89" s="3"/>
      <c r="CJ89" s="3"/>
      <c r="CK89" s="3"/>
      <c r="CP89" s="3"/>
      <c r="CQ89" s="3"/>
      <c r="CS89" s="3"/>
      <c r="CT89" s="3"/>
      <c r="CY89" s="3"/>
      <c r="CZ89" s="3"/>
      <c r="DB89" s="3"/>
      <c r="DC89" s="3"/>
    </row>
    <row r="90" spans="4:107" x14ac:dyDescent="0.25">
      <c r="D90" s="3"/>
      <c r="E90" s="40"/>
      <c r="G90" s="3"/>
      <c r="H90" s="3"/>
      <c r="I90" s="3"/>
      <c r="M90" s="3"/>
      <c r="N90" s="40"/>
      <c r="P90" s="3"/>
      <c r="Q90" s="3"/>
      <c r="R90" s="3"/>
      <c r="V90" s="3"/>
      <c r="W90" s="40"/>
      <c r="Y90" s="3"/>
      <c r="Z90" s="3"/>
      <c r="AA90" s="3"/>
      <c r="AE90" s="3"/>
      <c r="AF90" s="3"/>
      <c r="AH90" s="3"/>
      <c r="AI90" s="3"/>
      <c r="AJ90" s="3"/>
      <c r="AN90" s="3"/>
      <c r="AO90" s="3"/>
      <c r="AQ90" s="3"/>
      <c r="AR90" s="3"/>
      <c r="AW90" s="3"/>
      <c r="AX90" s="3"/>
      <c r="AZ90" s="3"/>
      <c r="BA90" s="3"/>
      <c r="BF90" s="3"/>
      <c r="BG90" s="3"/>
      <c r="BI90" s="3"/>
      <c r="BJ90" s="3"/>
      <c r="BO90" s="3"/>
      <c r="BP90" s="3"/>
      <c r="BR90" s="3"/>
      <c r="BS90" s="3"/>
      <c r="BX90" s="3"/>
      <c r="BY90" s="3"/>
      <c r="CA90" s="3"/>
      <c r="CB90" s="3"/>
      <c r="CC90" s="3"/>
      <c r="CG90" s="3"/>
      <c r="CH90" s="3"/>
      <c r="CJ90" s="3"/>
      <c r="CK90" s="3"/>
      <c r="CP90" s="3"/>
      <c r="CQ90" s="3"/>
      <c r="CS90" s="3"/>
      <c r="CT90" s="3"/>
      <c r="CY90" s="3"/>
      <c r="CZ90" s="3"/>
      <c r="DB90" s="3"/>
      <c r="DC90" s="3"/>
    </row>
    <row r="91" spans="4:107" x14ac:dyDescent="0.25">
      <c r="D91" s="3"/>
      <c r="E91" s="40"/>
      <c r="G91" s="3"/>
      <c r="H91" s="3"/>
      <c r="I91" s="3"/>
      <c r="M91" s="3"/>
      <c r="N91" s="40"/>
      <c r="P91" s="3"/>
      <c r="Q91" s="3"/>
      <c r="R91" s="3"/>
      <c r="V91" s="3"/>
      <c r="W91" s="40"/>
      <c r="Y91" s="3"/>
      <c r="Z91" s="3"/>
      <c r="AA91" s="3"/>
      <c r="AE91" s="3"/>
      <c r="AF91" s="3"/>
      <c r="AH91" s="3"/>
      <c r="AI91" s="3"/>
      <c r="AJ91" s="3"/>
      <c r="AN91" s="3"/>
      <c r="AO91" s="3"/>
      <c r="AQ91" s="3"/>
      <c r="AR91" s="3"/>
      <c r="AW91" s="3"/>
      <c r="AX91" s="3"/>
      <c r="AZ91" s="3"/>
      <c r="BA91" s="3"/>
      <c r="BF91" s="3"/>
      <c r="BG91" s="3"/>
      <c r="BI91" s="3"/>
      <c r="BJ91" s="3"/>
      <c r="BO91" s="3"/>
      <c r="BP91" s="3"/>
      <c r="BR91" s="3"/>
      <c r="BS91" s="3"/>
      <c r="BX91" s="3"/>
      <c r="BY91" s="3"/>
      <c r="CA91" s="3"/>
      <c r="CB91" s="3"/>
      <c r="CC91" s="3"/>
      <c r="CG91" s="3"/>
      <c r="CH91" s="3"/>
      <c r="CJ91" s="3"/>
      <c r="CK91" s="3"/>
      <c r="CP91" s="3"/>
      <c r="CQ91" s="3"/>
      <c r="CS91" s="3"/>
      <c r="CT91" s="3"/>
      <c r="CY91" s="3"/>
      <c r="CZ91" s="3"/>
      <c r="DB91" s="3"/>
      <c r="DC91" s="3"/>
    </row>
    <row r="92" spans="4:107" x14ac:dyDescent="0.25">
      <c r="D92" s="3"/>
      <c r="E92" s="40"/>
      <c r="G92" s="3"/>
      <c r="H92" s="3"/>
      <c r="I92" s="3"/>
      <c r="M92" s="3"/>
      <c r="N92" s="40"/>
      <c r="P92" s="3"/>
      <c r="Q92" s="3"/>
      <c r="R92" s="3"/>
      <c r="V92" s="3"/>
      <c r="W92" s="40"/>
      <c r="Y92" s="3"/>
      <c r="Z92" s="3"/>
      <c r="AA92" s="3"/>
      <c r="AE92" s="3"/>
      <c r="AF92" s="3"/>
      <c r="AH92" s="3"/>
      <c r="AI92" s="3"/>
      <c r="AJ92" s="3"/>
      <c r="AN92" s="3"/>
      <c r="AO92" s="3"/>
      <c r="AQ92" s="3"/>
      <c r="AR92" s="3"/>
      <c r="AW92" s="3"/>
      <c r="AX92" s="3"/>
      <c r="AZ92" s="3"/>
      <c r="BA92" s="3"/>
      <c r="BF92" s="3"/>
      <c r="BG92" s="3"/>
      <c r="BI92" s="3"/>
      <c r="BJ92" s="3"/>
      <c r="BO92" s="3"/>
      <c r="BP92" s="3"/>
      <c r="BR92" s="3"/>
      <c r="BS92" s="3"/>
      <c r="BX92" s="3"/>
      <c r="BY92" s="3"/>
      <c r="CA92" s="3"/>
      <c r="CB92" s="3"/>
      <c r="CC92" s="3"/>
      <c r="CG92" s="3"/>
      <c r="CH92" s="3"/>
      <c r="CJ92" s="3"/>
      <c r="CK92" s="3"/>
      <c r="CP92" s="3"/>
      <c r="CQ92" s="3"/>
      <c r="CS92" s="3"/>
      <c r="CT92" s="3"/>
      <c r="CY92" s="3"/>
      <c r="CZ92" s="3"/>
      <c r="DB92" s="3"/>
      <c r="DC92" s="3"/>
    </row>
    <row r="93" spans="4:107" x14ac:dyDescent="0.25">
      <c r="D93" s="3"/>
      <c r="E93" s="40"/>
      <c r="G93" s="3"/>
      <c r="H93" s="3"/>
      <c r="I93" s="3"/>
      <c r="M93" s="3"/>
      <c r="N93" s="40"/>
      <c r="P93" s="3"/>
      <c r="Q93" s="3"/>
      <c r="R93" s="3"/>
      <c r="V93" s="3"/>
      <c r="W93" s="40"/>
      <c r="Y93" s="3"/>
      <c r="Z93" s="3"/>
      <c r="AA93" s="3"/>
      <c r="AE93" s="3"/>
      <c r="AF93" s="3"/>
      <c r="AH93" s="3"/>
      <c r="AI93" s="3"/>
      <c r="AJ93" s="3"/>
      <c r="AN93" s="3"/>
      <c r="AO93" s="3"/>
      <c r="AQ93" s="3"/>
      <c r="AR93" s="3"/>
      <c r="AW93" s="3"/>
      <c r="AX93" s="3"/>
      <c r="AZ93" s="3"/>
      <c r="BA93" s="3"/>
      <c r="BF93" s="3"/>
      <c r="BG93" s="3"/>
      <c r="BI93" s="3"/>
      <c r="BJ93" s="3"/>
      <c r="BO93" s="3"/>
      <c r="BP93" s="3"/>
      <c r="BR93" s="3"/>
      <c r="BS93" s="3"/>
      <c r="BX93" s="3"/>
      <c r="BY93" s="3"/>
      <c r="CA93" s="3"/>
      <c r="CB93" s="3"/>
      <c r="CC93" s="3"/>
      <c r="CG93" s="3"/>
      <c r="CH93" s="3"/>
      <c r="CJ93" s="3"/>
      <c r="CK93" s="3"/>
      <c r="CP93" s="3"/>
      <c r="CQ93" s="3"/>
      <c r="CS93" s="3"/>
      <c r="CT93" s="3"/>
      <c r="CY93" s="3"/>
      <c r="CZ93" s="3"/>
      <c r="DB93" s="3"/>
      <c r="DC93" s="3"/>
    </row>
    <row r="94" spans="4:107" x14ac:dyDescent="0.25">
      <c r="D94" s="3"/>
      <c r="E94" s="40"/>
      <c r="G94" s="3"/>
      <c r="H94" s="3"/>
      <c r="I94" s="3"/>
      <c r="M94" s="3"/>
      <c r="N94" s="40"/>
      <c r="P94" s="3"/>
      <c r="Q94" s="3"/>
      <c r="R94" s="3"/>
      <c r="V94" s="3"/>
      <c r="W94" s="40"/>
      <c r="Y94" s="3"/>
      <c r="Z94" s="3"/>
      <c r="AA94" s="3"/>
      <c r="AE94" s="3"/>
      <c r="AF94" s="3"/>
      <c r="AH94" s="3"/>
      <c r="AI94" s="3"/>
      <c r="AJ94" s="3"/>
      <c r="AN94" s="3"/>
      <c r="AO94" s="3"/>
      <c r="AQ94" s="3"/>
      <c r="AR94" s="3"/>
      <c r="AW94" s="3"/>
      <c r="AX94" s="3"/>
      <c r="AZ94" s="3"/>
      <c r="BA94" s="3"/>
      <c r="BF94" s="3"/>
      <c r="BG94" s="3"/>
      <c r="BI94" s="3"/>
      <c r="BJ94" s="3"/>
      <c r="BO94" s="3"/>
      <c r="BP94" s="3"/>
      <c r="BR94" s="3"/>
      <c r="BS94" s="3"/>
      <c r="BX94" s="3"/>
      <c r="BY94" s="3"/>
      <c r="CA94" s="3"/>
      <c r="CB94" s="3"/>
      <c r="CC94" s="3"/>
      <c r="CG94" s="3"/>
      <c r="CH94" s="3"/>
      <c r="CJ94" s="3"/>
      <c r="CK94" s="3"/>
      <c r="CP94" s="3"/>
      <c r="CQ94" s="3"/>
      <c r="CS94" s="3"/>
      <c r="CT94" s="3"/>
      <c r="CY94" s="3"/>
      <c r="CZ94" s="3"/>
      <c r="DB94" s="3"/>
      <c r="DC94" s="3"/>
    </row>
    <row r="95" spans="4:107" x14ac:dyDescent="0.25">
      <c r="D95" s="3"/>
      <c r="E95" s="40"/>
      <c r="G95" s="3"/>
      <c r="H95" s="3"/>
      <c r="I95" s="3"/>
      <c r="M95" s="3"/>
      <c r="N95" s="40"/>
      <c r="P95" s="3"/>
      <c r="Q95" s="3"/>
      <c r="R95" s="3"/>
      <c r="V95" s="3"/>
      <c r="W95" s="40"/>
      <c r="Y95" s="3"/>
      <c r="Z95" s="3"/>
      <c r="AA95" s="3"/>
      <c r="AE95" s="3"/>
      <c r="AF95" s="3"/>
      <c r="AH95" s="3"/>
      <c r="AI95" s="3"/>
      <c r="AJ95" s="3"/>
      <c r="AN95" s="3"/>
      <c r="AO95" s="3"/>
      <c r="AQ95" s="3"/>
      <c r="AR95" s="3"/>
      <c r="AW95" s="3"/>
      <c r="AX95" s="3"/>
      <c r="AZ95" s="3"/>
      <c r="BA95" s="3"/>
      <c r="BF95" s="3"/>
      <c r="BG95" s="3"/>
      <c r="BI95" s="3"/>
      <c r="BJ95" s="3"/>
      <c r="BO95" s="3"/>
      <c r="BP95" s="3"/>
      <c r="BR95" s="3"/>
      <c r="BS95" s="3"/>
      <c r="BX95" s="3"/>
      <c r="BY95" s="3"/>
      <c r="CA95" s="3"/>
      <c r="CB95" s="3"/>
      <c r="CC95" s="3"/>
      <c r="CG95" s="3"/>
      <c r="CH95" s="3"/>
      <c r="CJ95" s="3"/>
      <c r="CK95" s="3"/>
      <c r="CP95" s="3"/>
      <c r="CQ95" s="3"/>
      <c r="CS95" s="3"/>
      <c r="CT95" s="3"/>
      <c r="CY95" s="3"/>
      <c r="CZ95" s="3"/>
      <c r="DB95" s="3"/>
      <c r="DC95" s="3"/>
    </row>
    <row r="96" spans="4:107" x14ac:dyDescent="0.25">
      <c r="D96" s="3"/>
      <c r="E96" s="40"/>
      <c r="G96" s="3"/>
      <c r="H96" s="3"/>
      <c r="I96" s="3"/>
      <c r="M96" s="3"/>
      <c r="N96" s="40"/>
      <c r="P96" s="3"/>
      <c r="Q96" s="3"/>
      <c r="R96" s="3"/>
      <c r="V96" s="3"/>
      <c r="W96" s="40"/>
      <c r="Y96" s="3"/>
      <c r="Z96" s="3"/>
      <c r="AA96" s="3"/>
      <c r="AE96" s="3"/>
      <c r="AF96" s="3"/>
      <c r="AH96" s="3"/>
      <c r="AI96" s="3"/>
      <c r="AJ96" s="3"/>
      <c r="AN96" s="3"/>
      <c r="AO96" s="3"/>
      <c r="AQ96" s="3"/>
      <c r="AR96" s="3"/>
      <c r="AW96" s="3"/>
      <c r="AX96" s="3"/>
      <c r="AZ96" s="3"/>
      <c r="BA96" s="3"/>
      <c r="BF96" s="3"/>
      <c r="BG96" s="3"/>
      <c r="BI96" s="3"/>
      <c r="BJ96" s="3"/>
      <c r="BO96" s="3"/>
      <c r="BP96" s="3"/>
      <c r="BR96" s="3"/>
      <c r="BS96" s="3"/>
      <c r="BX96" s="3"/>
      <c r="BY96" s="3"/>
      <c r="CA96" s="3"/>
      <c r="CB96" s="3"/>
      <c r="CC96" s="3"/>
      <c r="CG96" s="3"/>
      <c r="CH96" s="3"/>
      <c r="CJ96" s="3"/>
      <c r="CK96" s="3"/>
      <c r="CP96" s="3"/>
      <c r="CQ96" s="3"/>
      <c r="CS96" s="3"/>
      <c r="CT96" s="3"/>
      <c r="CY96" s="3"/>
      <c r="CZ96" s="3"/>
      <c r="DB96" s="3"/>
      <c r="DC96" s="3"/>
    </row>
    <row r="97" spans="4:107" x14ac:dyDescent="0.25">
      <c r="D97" s="3"/>
      <c r="E97" s="40"/>
      <c r="G97" s="3"/>
      <c r="H97" s="3"/>
      <c r="I97" s="3"/>
      <c r="M97" s="3"/>
      <c r="N97" s="40"/>
      <c r="P97" s="3"/>
      <c r="Q97" s="3"/>
      <c r="R97" s="3"/>
      <c r="V97" s="3"/>
      <c r="W97" s="40"/>
      <c r="Y97" s="3"/>
      <c r="Z97" s="3"/>
      <c r="AA97" s="3"/>
      <c r="AE97" s="3"/>
      <c r="AF97" s="3"/>
      <c r="AH97" s="3"/>
      <c r="AI97" s="3"/>
      <c r="AJ97" s="3"/>
      <c r="AN97" s="3"/>
      <c r="AO97" s="3"/>
      <c r="AQ97" s="3"/>
      <c r="AR97" s="3"/>
      <c r="AW97" s="3"/>
      <c r="AX97" s="3"/>
      <c r="AZ97" s="3"/>
      <c r="BA97" s="3"/>
      <c r="BF97" s="3"/>
      <c r="BG97" s="3"/>
      <c r="BI97" s="3"/>
      <c r="BJ97" s="3"/>
      <c r="BO97" s="3"/>
      <c r="BP97" s="3"/>
      <c r="BR97" s="3"/>
      <c r="BS97" s="3"/>
      <c r="BX97" s="3"/>
      <c r="BY97" s="3"/>
      <c r="CA97" s="3"/>
      <c r="CB97" s="3"/>
      <c r="CC97" s="3"/>
      <c r="CG97" s="3"/>
      <c r="CH97" s="3"/>
      <c r="CJ97" s="3"/>
      <c r="CK97" s="3"/>
      <c r="CP97" s="3"/>
      <c r="CQ97" s="3"/>
      <c r="CS97" s="3"/>
      <c r="CT97" s="3"/>
      <c r="CY97" s="3"/>
      <c r="CZ97" s="3"/>
      <c r="DB97" s="3"/>
      <c r="DC97" s="3"/>
    </row>
    <row r="98" spans="4:107" x14ac:dyDescent="0.25">
      <c r="D98" s="3"/>
      <c r="E98" s="40"/>
      <c r="G98" s="3"/>
      <c r="H98" s="3"/>
      <c r="I98" s="3"/>
      <c r="M98" s="3"/>
      <c r="N98" s="40"/>
      <c r="P98" s="3"/>
      <c r="Q98" s="3"/>
      <c r="R98" s="3"/>
      <c r="V98" s="3"/>
      <c r="W98" s="40"/>
      <c r="Y98" s="3"/>
      <c r="Z98" s="3"/>
      <c r="AA98" s="3"/>
      <c r="AE98" s="3"/>
      <c r="AF98" s="3"/>
      <c r="AH98" s="3"/>
      <c r="AI98" s="3"/>
      <c r="AJ98" s="3"/>
      <c r="AN98" s="3"/>
      <c r="AO98" s="3"/>
      <c r="AQ98" s="3"/>
      <c r="AR98" s="3"/>
      <c r="AW98" s="3"/>
      <c r="AX98" s="3"/>
      <c r="AZ98" s="3"/>
      <c r="BA98" s="3"/>
      <c r="BF98" s="3"/>
      <c r="BG98" s="3"/>
      <c r="BI98" s="3"/>
      <c r="BJ98" s="3"/>
      <c r="BO98" s="3"/>
      <c r="BP98" s="3"/>
      <c r="BR98" s="3"/>
      <c r="BS98" s="3"/>
      <c r="BX98" s="3"/>
      <c r="BY98" s="3"/>
      <c r="CA98" s="3"/>
      <c r="CB98" s="3"/>
      <c r="CC98" s="3"/>
      <c r="CG98" s="3"/>
      <c r="CH98" s="3"/>
      <c r="CJ98" s="3"/>
      <c r="CK98" s="3"/>
      <c r="CP98" s="3"/>
      <c r="CQ98" s="3"/>
      <c r="CS98" s="3"/>
      <c r="CT98" s="3"/>
      <c r="CY98" s="3"/>
      <c r="CZ98" s="3"/>
      <c r="DB98" s="3"/>
      <c r="DC98" s="3"/>
    </row>
    <row r="99" spans="4:107" x14ac:dyDescent="0.25">
      <c r="D99" s="3"/>
      <c r="E99" s="40"/>
      <c r="G99" s="3"/>
      <c r="H99" s="3"/>
      <c r="I99" s="3"/>
      <c r="M99" s="3"/>
      <c r="N99" s="40"/>
      <c r="P99" s="3"/>
      <c r="Q99" s="3"/>
      <c r="R99" s="3"/>
      <c r="V99" s="3"/>
      <c r="W99" s="40"/>
      <c r="Y99" s="3"/>
      <c r="Z99" s="3"/>
      <c r="AA99" s="3"/>
      <c r="AE99" s="3"/>
      <c r="AF99" s="3"/>
      <c r="AH99" s="3"/>
      <c r="AI99" s="3"/>
      <c r="AJ99" s="3"/>
      <c r="AN99" s="3"/>
      <c r="AO99" s="3"/>
      <c r="AQ99" s="3"/>
      <c r="AR99" s="3"/>
      <c r="AW99" s="3"/>
      <c r="AX99" s="3"/>
      <c r="AZ99" s="3"/>
      <c r="BA99" s="3"/>
      <c r="BF99" s="3"/>
      <c r="BG99" s="3"/>
      <c r="BI99" s="3"/>
      <c r="BJ99" s="3"/>
      <c r="BO99" s="3"/>
      <c r="BP99" s="3"/>
      <c r="BR99" s="3"/>
      <c r="BS99" s="3"/>
      <c r="BX99" s="3"/>
      <c r="BY99" s="3"/>
      <c r="CA99" s="3"/>
      <c r="CB99" s="3"/>
      <c r="CC99" s="3"/>
      <c r="CG99" s="3"/>
      <c r="CH99" s="3"/>
      <c r="CJ99" s="3"/>
      <c r="CK99" s="3"/>
      <c r="CP99" s="3"/>
      <c r="CQ99" s="3"/>
      <c r="CS99" s="3"/>
      <c r="CT99" s="3"/>
      <c r="CY99" s="3"/>
      <c r="CZ99" s="3"/>
      <c r="DB99" s="3"/>
      <c r="DC99" s="3"/>
    </row>
    <row r="100" spans="4:107" x14ac:dyDescent="0.25">
      <c r="D100" s="3"/>
      <c r="E100" s="40"/>
      <c r="G100" s="3"/>
      <c r="H100" s="3"/>
      <c r="I100" s="3"/>
      <c r="M100" s="3"/>
      <c r="N100" s="40"/>
      <c r="P100" s="3"/>
      <c r="Q100" s="3"/>
      <c r="R100" s="3"/>
      <c r="V100" s="3"/>
      <c r="W100" s="40"/>
      <c r="Y100" s="3"/>
      <c r="Z100" s="3"/>
      <c r="AA100" s="3"/>
      <c r="AE100" s="3"/>
      <c r="AF100" s="3"/>
      <c r="AH100" s="3"/>
      <c r="AI100" s="3"/>
      <c r="AJ100" s="3"/>
      <c r="AN100" s="3"/>
      <c r="AO100" s="3"/>
      <c r="AQ100" s="3"/>
      <c r="AR100" s="3"/>
      <c r="AW100" s="3"/>
      <c r="AX100" s="3"/>
      <c r="AZ100" s="3"/>
      <c r="BA100" s="3"/>
      <c r="BF100" s="3"/>
      <c r="BG100" s="3"/>
      <c r="BI100" s="3"/>
      <c r="BJ100" s="3"/>
      <c r="BO100" s="3"/>
      <c r="BP100" s="3"/>
      <c r="BR100" s="3"/>
      <c r="BS100" s="3"/>
      <c r="BX100" s="3"/>
      <c r="BY100" s="3"/>
      <c r="CA100" s="3"/>
      <c r="CB100" s="3"/>
      <c r="CC100" s="3"/>
      <c r="CG100" s="3"/>
      <c r="CH100" s="3"/>
      <c r="CJ100" s="3"/>
      <c r="CK100" s="3"/>
      <c r="CP100" s="3"/>
      <c r="CQ100" s="3"/>
      <c r="CS100" s="3"/>
      <c r="CT100" s="3"/>
      <c r="CY100" s="3"/>
      <c r="CZ100" s="3"/>
      <c r="DB100" s="3"/>
      <c r="DC100" s="3"/>
    </row>
    <row r="101" spans="4:107" x14ac:dyDescent="0.25">
      <c r="D101" s="3"/>
      <c r="E101" s="40"/>
      <c r="G101" s="3"/>
      <c r="H101" s="3"/>
      <c r="I101" s="3"/>
      <c r="M101" s="3"/>
      <c r="N101" s="40"/>
      <c r="P101" s="3"/>
      <c r="Q101" s="3"/>
      <c r="R101" s="3"/>
      <c r="V101" s="3"/>
      <c r="W101" s="40"/>
      <c r="Y101" s="3"/>
      <c r="Z101" s="3"/>
      <c r="AA101" s="3"/>
      <c r="AE101" s="3"/>
      <c r="AF101" s="3"/>
      <c r="AH101" s="3"/>
      <c r="AI101" s="3"/>
      <c r="AJ101" s="3"/>
      <c r="AN101" s="3"/>
      <c r="AO101" s="3"/>
      <c r="AQ101" s="3"/>
      <c r="AR101" s="3"/>
      <c r="AW101" s="3"/>
      <c r="AX101" s="3"/>
      <c r="AZ101" s="3"/>
      <c r="BA101" s="3"/>
      <c r="BF101" s="3"/>
      <c r="BG101" s="3"/>
      <c r="BI101" s="3"/>
      <c r="BJ101" s="3"/>
      <c r="BO101" s="3"/>
      <c r="BP101" s="3"/>
      <c r="BR101" s="3"/>
      <c r="BS101" s="3"/>
      <c r="BX101" s="3"/>
      <c r="BY101" s="3"/>
      <c r="CA101" s="3"/>
      <c r="CB101" s="3"/>
      <c r="CC101" s="3"/>
      <c r="CG101" s="3"/>
      <c r="CH101" s="3"/>
      <c r="CJ101" s="3"/>
      <c r="CK101" s="3"/>
      <c r="CP101" s="3"/>
      <c r="CQ101" s="3"/>
      <c r="CS101" s="3"/>
      <c r="CT101" s="3"/>
      <c r="CY101" s="3"/>
      <c r="CZ101" s="3"/>
      <c r="DB101" s="3"/>
      <c r="DC101" s="3"/>
    </row>
    <row r="102" spans="4:107" x14ac:dyDescent="0.25">
      <c r="D102" s="3"/>
      <c r="E102" s="40"/>
      <c r="G102" s="3"/>
      <c r="H102" s="3"/>
      <c r="I102" s="3"/>
      <c r="M102" s="3"/>
      <c r="N102" s="40"/>
      <c r="P102" s="3"/>
      <c r="Q102" s="3"/>
      <c r="R102" s="3"/>
      <c r="V102" s="3"/>
      <c r="W102" s="40"/>
      <c r="Y102" s="3"/>
      <c r="Z102" s="3"/>
      <c r="AA102" s="3"/>
      <c r="AE102" s="3"/>
      <c r="AF102" s="3"/>
      <c r="AH102" s="3"/>
      <c r="AI102" s="3"/>
      <c r="AJ102" s="3"/>
      <c r="AN102" s="3"/>
      <c r="AO102" s="3"/>
      <c r="AQ102" s="3"/>
      <c r="AR102" s="3"/>
      <c r="AW102" s="3"/>
      <c r="AX102" s="3"/>
      <c r="AZ102" s="3"/>
      <c r="BA102" s="3"/>
      <c r="BF102" s="3"/>
      <c r="BG102" s="3"/>
      <c r="BI102" s="3"/>
      <c r="BJ102" s="3"/>
      <c r="BO102" s="3"/>
      <c r="BP102" s="3"/>
      <c r="BR102" s="3"/>
      <c r="BS102" s="3"/>
      <c r="BX102" s="3"/>
      <c r="BY102" s="3"/>
      <c r="CA102" s="3"/>
      <c r="CB102" s="3"/>
      <c r="CC102" s="3"/>
      <c r="CG102" s="3"/>
      <c r="CH102" s="3"/>
      <c r="CJ102" s="3"/>
      <c r="CK102" s="3"/>
      <c r="CP102" s="3"/>
      <c r="CQ102" s="3"/>
      <c r="CS102" s="3"/>
      <c r="CT102" s="3"/>
      <c r="CY102" s="3"/>
      <c r="CZ102" s="3"/>
      <c r="DB102" s="3"/>
      <c r="DC102" s="3"/>
    </row>
    <row r="103" spans="4:107" x14ac:dyDescent="0.25">
      <c r="D103" s="3"/>
      <c r="E103" s="40"/>
      <c r="G103" s="3"/>
      <c r="H103" s="3"/>
      <c r="I103" s="3"/>
      <c r="M103" s="3"/>
      <c r="N103" s="40"/>
      <c r="P103" s="3"/>
      <c r="Q103" s="3"/>
      <c r="R103" s="3"/>
      <c r="V103" s="3"/>
      <c r="W103" s="40"/>
      <c r="Y103" s="3"/>
      <c r="Z103" s="3"/>
      <c r="AA103" s="3"/>
      <c r="AE103" s="3"/>
      <c r="AF103" s="3"/>
      <c r="AH103" s="3"/>
      <c r="AI103" s="3"/>
      <c r="AJ103" s="3"/>
      <c r="AN103" s="3"/>
      <c r="AO103" s="3"/>
      <c r="AQ103" s="3"/>
      <c r="AR103" s="3"/>
      <c r="AW103" s="3"/>
      <c r="AX103" s="3"/>
      <c r="AZ103" s="3"/>
      <c r="BA103" s="3"/>
      <c r="BF103" s="3"/>
      <c r="BG103" s="3"/>
      <c r="BI103" s="3"/>
      <c r="BJ103" s="3"/>
      <c r="BO103" s="3"/>
      <c r="BP103" s="3"/>
      <c r="BR103" s="3"/>
      <c r="BS103" s="3"/>
      <c r="BX103" s="3"/>
      <c r="BY103" s="3"/>
      <c r="CA103" s="3"/>
      <c r="CB103" s="3"/>
      <c r="CC103" s="3"/>
      <c r="CG103" s="3"/>
      <c r="CH103" s="3"/>
      <c r="CJ103" s="3"/>
      <c r="CK103" s="3"/>
      <c r="CP103" s="3"/>
      <c r="CQ103" s="3"/>
      <c r="CS103" s="3"/>
      <c r="CT103" s="3"/>
      <c r="CY103" s="3"/>
      <c r="CZ103" s="3"/>
      <c r="DB103" s="3"/>
      <c r="DC103" s="3"/>
    </row>
    <row r="104" spans="4:107" x14ac:dyDescent="0.25">
      <c r="D104" s="3"/>
      <c r="E104" s="40"/>
      <c r="G104" s="3"/>
      <c r="H104" s="3"/>
      <c r="I104" s="3"/>
      <c r="M104" s="3"/>
      <c r="N104" s="40"/>
      <c r="P104" s="3"/>
      <c r="Q104" s="3"/>
      <c r="R104" s="3"/>
      <c r="V104" s="3"/>
      <c r="W104" s="40"/>
      <c r="Y104" s="3"/>
      <c r="Z104" s="3"/>
      <c r="AA104" s="3"/>
      <c r="AE104" s="3"/>
      <c r="AF104" s="3"/>
      <c r="AH104" s="3"/>
      <c r="AI104" s="3"/>
      <c r="AJ104" s="3"/>
      <c r="AN104" s="3"/>
      <c r="AO104" s="3"/>
      <c r="AQ104" s="3"/>
      <c r="AR104" s="3"/>
      <c r="AW104" s="3"/>
      <c r="AX104" s="3"/>
      <c r="AZ104" s="3"/>
      <c r="BA104" s="3"/>
      <c r="BF104" s="3"/>
      <c r="BG104" s="3"/>
      <c r="BI104" s="3"/>
      <c r="BJ104" s="3"/>
      <c r="BO104" s="3"/>
      <c r="BP104" s="3"/>
      <c r="BR104" s="3"/>
      <c r="BS104" s="3"/>
      <c r="BX104" s="3"/>
      <c r="BY104" s="3"/>
      <c r="CA104" s="3"/>
      <c r="CB104" s="3"/>
      <c r="CC104" s="3"/>
      <c r="CG104" s="3"/>
      <c r="CH104" s="3"/>
      <c r="CJ104" s="3"/>
      <c r="CK104" s="3"/>
      <c r="CP104" s="3"/>
      <c r="CQ104" s="3"/>
      <c r="CS104" s="3"/>
      <c r="CT104" s="3"/>
      <c r="CY104" s="3"/>
      <c r="CZ104" s="3"/>
      <c r="DB104" s="3"/>
      <c r="DC104" s="3"/>
    </row>
    <row r="105" spans="4:107" x14ac:dyDescent="0.25">
      <c r="D105" s="3"/>
      <c r="E105" s="40"/>
      <c r="G105" s="3"/>
      <c r="H105" s="3"/>
      <c r="I105" s="3"/>
      <c r="M105" s="3"/>
      <c r="N105" s="40"/>
      <c r="P105" s="3"/>
      <c r="Q105" s="3"/>
      <c r="R105" s="3"/>
      <c r="V105" s="3"/>
      <c r="W105" s="40"/>
      <c r="Y105" s="3"/>
      <c r="Z105" s="3"/>
      <c r="AA105" s="3"/>
      <c r="AE105" s="3"/>
      <c r="AF105" s="3"/>
      <c r="AH105" s="3"/>
      <c r="AI105" s="3"/>
      <c r="AJ105" s="3"/>
      <c r="AN105" s="3"/>
      <c r="AO105" s="3"/>
      <c r="AQ105" s="3"/>
      <c r="AR105" s="3"/>
      <c r="AW105" s="3"/>
      <c r="AX105" s="3"/>
      <c r="AZ105" s="3"/>
      <c r="BA105" s="3"/>
      <c r="BF105" s="3"/>
      <c r="BG105" s="3"/>
      <c r="BI105" s="3"/>
      <c r="BJ105" s="3"/>
      <c r="BO105" s="3"/>
      <c r="BP105" s="3"/>
      <c r="BR105" s="3"/>
      <c r="BS105" s="3"/>
      <c r="BX105" s="3"/>
      <c r="BY105" s="3"/>
      <c r="CA105" s="3"/>
      <c r="CB105" s="3"/>
      <c r="CC105" s="3"/>
      <c r="CG105" s="3"/>
      <c r="CH105" s="3"/>
      <c r="CJ105" s="3"/>
      <c r="CK105" s="3"/>
      <c r="CP105" s="3"/>
      <c r="CQ105" s="3"/>
      <c r="CS105" s="3"/>
      <c r="CT105" s="3"/>
      <c r="CY105" s="3"/>
      <c r="CZ105" s="3"/>
      <c r="DB105" s="3"/>
      <c r="DC105" s="3"/>
    </row>
    <row r="106" spans="4:107" x14ac:dyDescent="0.25">
      <c r="D106" s="3"/>
      <c r="E106" s="40"/>
      <c r="G106" s="3"/>
      <c r="H106" s="3"/>
      <c r="I106" s="3"/>
      <c r="M106" s="3"/>
      <c r="N106" s="40"/>
      <c r="P106" s="3"/>
      <c r="Q106" s="3"/>
      <c r="R106" s="3"/>
      <c r="V106" s="3"/>
      <c r="W106" s="40"/>
      <c r="Y106" s="3"/>
      <c r="Z106" s="3"/>
      <c r="AA106" s="3"/>
      <c r="AE106" s="3"/>
      <c r="AF106" s="3"/>
      <c r="AH106" s="3"/>
      <c r="AI106" s="3"/>
      <c r="AJ106" s="3"/>
      <c r="AN106" s="3"/>
      <c r="AO106" s="3"/>
      <c r="AQ106" s="3"/>
      <c r="AR106" s="3"/>
      <c r="AW106" s="3"/>
      <c r="AX106" s="3"/>
      <c r="AZ106" s="3"/>
      <c r="BA106" s="3"/>
      <c r="BF106" s="3"/>
      <c r="BG106" s="3"/>
      <c r="BI106" s="3"/>
      <c r="BJ106" s="3"/>
      <c r="BO106" s="3"/>
      <c r="BP106" s="3"/>
      <c r="BR106" s="3"/>
      <c r="BS106" s="3"/>
      <c r="BX106" s="3"/>
      <c r="BY106" s="3"/>
      <c r="CA106" s="3"/>
      <c r="CB106" s="3"/>
      <c r="CC106" s="3"/>
      <c r="CG106" s="3"/>
      <c r="CH106" s="3"/>
      <c r="CJ106" s="3"/>
      <c r="CK106" s="3"/>
      <c r="CP106" s="3"/>
      <c r="CQ106" s="3"/>
      <c r="CS106" s="3"/>
      <c r="CT106" s="3"/>
      <c r="CY106" s="3"/>
      <c r="CZ106" s="3"/>
      <c r="DB106" s="3"/>
      <c r="DC106" s="3"/>
    </row>
    <row r="107" spans="4:107" x14ac:dyDescent="0.25">
      <c r="D107" s="3"/>
      <c r="E107" s="40"/>
      <c r="G107" s="3"/>
      <c r="H107" s="3"/>
      <c r="I107" s="3"/>
      <c r="M107" s="3"/>
      <c r="N107" s="40"/>
      <c r="P107" s="3"/>
      <c r="Q107" s="3"/>
      <c r="R107" s="3"/>
      <c r="V107" s="3"/>
      <c r="W107" s="40"/>
      <c r="Y107" s="3"/>
      <c r="Z107" s="3"/>
      <c r="AA107" s="3"/>
      <c r="AE107" s="3"/>
      <c r="AF107" s="3"/>
      <c r="AH107" s="3"/>
      <c r="AI107" s="3"/>
      <c r="AJ107" s="3"/>
      <c r="AN107" s="3"/>
      <c r="AO107" s="3"/>
      <c r="AQ107" s="3"/>
      <c r="AR107" s="3"/>
      <c r="AW107" s="3"/>
      <c r="AX107" s="3"/>
      <c r="AZ107" s="3"/>
      <c r="BA107" s="3"/>
      <c r="BF107" s="3"/>
      <c r="BG107" s="3"/>
      <c r="BI107" s="3"/>
      <c r="BJ107" s="3"/>
      <c r="BO107" s="3"/>
      <c r="BP107" s="3"/>
      <c r="BR107" s="3"/>
      <c r="BS107" s="3"/>
      <c r="BX107" s="3"/>
      <c r="BY107" s="3"/>
      <c r="CA107" s="3"/>
      <c r="CB107" s="3"/>
      <c r="CC107" s="3"/>
      <c r="CG107" s="3"/>
      <c r="CH107" s="3"/>
      <c r="CJ107" s="3"/>
      <c r="CK107" s="3"/>
      <c r="CP107" s="3"/>
      <c r="CQ107" s="3"/>
      <c r="CS107" s="3"/>
      <c r="CT107" s="3"/>
      <c r="CY107" s="3"/>
      <c r="CZ107" s="3"/>
      <c r="DB107" s="3"/>
      <c r="DC107" s="3"/>
    </row>
    <row r="108" spans="4:107" x14ac:dyDescent="0.25">
      <c r="D108" s="3"/>
      <c r="E108" s="40"/>
      <c r="G108" s="3"/>
      <c r="H108" s="3"/>
      <c r="I108" s="3"/>
      <c r="M108" s="3"/>
      <c r="N108" s="40"/>
      <c r="P108" s="3"/>
      <c r="Q108" s="3"/>
      <c r="R108" s="3"/>
      <c r="V108" s="3"/>
      <c r="W108" s="40"/>
      <c r="Y108" s="3"/>
      <c r="Z108" s="3"/>
      <c r="AA108" s="3"/>
      <c r="AE108" s="3"/>
      <c r="AF108" s="3"/>
      <c r="AH108" s="3"/>
      <c r="AI108" s="3"/>
      <c r="AJ108" s="3"/>
      <c r="AN108" s="3"/>
      <c r="AO108" s="3"/>
      <c r="AQ108" s="3"/>
      <c r="AR108" s="3"/>
      <c r="AW108" s="3"/>
      <c r="AX108" s="3"/>
      <c r="AZ108" s="3"/>
      <c r="BA108" s="3"/>
      <c r="BF108" s="3"/>
      <c r="BG108" s="3"/>
      <c r="BI108" s="3"/>
      <c r="BJ108" s="3"/>
      <c r="BO108" s="3"/>
      <c r="BP108" s="3"/>
      <c r="BR108" s="3"/>
      <c r="BS108" s="3"/>
      <c r="BX108" s="3"/>
      <c r="BY108" s="3"/>
      <c r="CA108" s="3"/>
      <c r="CB108" s="3"/>
      <c r="CC108" s="3"/>
      <c r="CG108" s="3"/>
      <c r="CH108" s="3"/>
      <c r="CJ108" s="3"/>
      <c r="CK108" s="3"/>
      <c r="CP108" s="3"/>
      <c r="CQ108" s="3"/>
      <c r="CS108" s="3"/>
      <c r="CT108" s="3"/>
      <c r="CY108" s="3"/>
      <c r="CZ108" s="3"/>
      <c r="DB108" s="3"/>
      <c r="DC108" s="3"/>
    </row>
    <row r="109" spans="4:107" x14ac:dyDescent="0.25">
      <c r="D109" s="3"/>
      <c r="E109" s="40"/>
      <c r="G109" s="3"/>
      <c r="H109" s="3"/>
      <c r="I109" s="3"/>
      <c r="M109" s="3"/>
      <c r="N109" s="40"/>
      <c r="P109" s="3"/>
      <c r="Q109" s="3"/>
      <c r="R109" s="3"/>
      <c r="V109" s="3"/>
      <c r="W109" s="40"/>
      <c r="Y109" s="3"/>
      <c r="Z109" s="3"/>
      <c r="AA109" s="3"/>
      <c r="AE109" s="3"/>
      <c r="AF109" s="3"/>
      <c r="AH109" s="3"/>
      <c r="AI109" s="3"/>
      <c r="AJ109" s="3"/>
      <c r="AN109" s="3"/>
      <c r="AO109" s="3"/>
      <c r="AQ109" s="3"/>
      <c r="AR109" s="3"/>
      <c r="AW109" s="3"/>
      <c r="AX109" s="3"/>
      <c r="AZ109" s="3"/>
      <c r="BA109" s="3"/>
      <c r="BF109" s="3"/>
      <c r="BG109" s="3"/>
      <c r="BI109" s="3"/>
      <c r="BJ109" s="3"/>
      <c r="BO109" s="3"/>
      <c r="BP109" s="3"/>
      <c r="BR109" s="3"/>
      <c r="BS109" s="3"/>
      <c r="BX109" s="3"/>
      <c r="BY109" s="3"/>
      <c r="CA109" s="3"/>
      <c r="CB109" s="3"/>
      <c r="CC109" s="3"/>
      <c r="CG109" s="3"/>
      <c r="CH109" s="3"/>
      <c r="CJ109" s="3"/>
      <c r="CK109" s="3"/>
      <c r="CP109" s="3"/>
      <c r="CQ109" s="3"/>
      <c r="CS109" s="3"/>
      <c r="CT109" s="3"/>
      <c r="CY109" s="3"/>
      <c r="CZ109" s="3"/>
      <c r="DB109" s="3"/>
      <c r="DC109" s="3"/>
    </row>
    <row r="110" spans="4:107" x14ac:dyDescent="0.25">
      <c r="D110" s="3"/>
      <c r="E110" s="40"/>
      <c r="G110" s="3"/>
      <c r="H110" s="3"/>
      <c r="I110" s="3"/>
      <c r="M110" s="3"/>
      <c r="N110" s="40"/>
      <c r="P110" s="3"/>
      <c r="Q110" s="3"/>
      <c r="R110" s="3"/>
      <c r="V110" s="3"/>
      <c r="W110" s="40"/>
      <c r="Y110" s="3"/>
      <c r="Z110" s="3"/>
      <c r="AA110" s="3"/>
      <c r="AE110" s="3"/>
      <c r="AF110" s="3"/>
      <c r="AH110" s="3"/>
      <c r="AI110" s="3"/>
      <c r="AJ110" s="3"/>
      <c r="AN110" s="3"/>
      <c r="AO110" s="3"/>
      <c r="AQ110" s="3"/>
      <c r="AR110" s="3"/>
      <c r="AW110" s="3"/>
      <c r="AX110" s="3"/>
      <c r="AZ110" s="3"/>
      <c r="BA110" s="3"/>
      <c r="BF110" s="3"/>
      <c r="BG110" s="3"/>
      <c r="BI110" s="3"/>
      <c r="BJ110" s="3"/>
      <c r="BO110" s="3"/>
      <c r="BP110" s="3"/>
      <c r="BR110" s="3"/>
      <c r="BS110" s="3"/>
      <c r="BX110" s="3"/>
      <c r="BY110" s="3"/>
      <c r="CA110" s="3"/>
      <c r="CB110" s="3"/>
      <c r="CC110" s="3"/>
      <c r="CG110" s="3"/>
      <c r="CH110" s="3"/>
      <c r="CJ110" s="3"/>
      <c r="CK110" s="3"/>
      <c r="CP110" s="3"/>
      <c r="CQ110" s="3"/>
      <c r="CS110" s="3"/>
      <c r="CT110" s="3"/>
      <c r="CY110" s="3"/>
      <c r="CZ110" s="3"/>
      <c r="DB110" s="3"/>
      <c r="DC110" s="3"/>
    </row>
    <row r="111" spans="4:107" x14ac:dyDescent="0.25">
      <c r="D111" s="3"/>
      <c r="E111" s="40"/>
      <c r="G111" s="3"/>
      <c r="H111" s="3"/>
      <c r="I111" s="3"/>
      <c r="M111" s="3"/>
      <c r="N111" s="40"/>
      <c r="P111" s="3"/>
      <c r="Q111" s="3"/>
      <c r="R111" s="3"/>
      <c r="V111" s="3"/>
      <c r="W111" s="40"/>
      <c r="Y111" s="3"/>
      <c r="Z111" s="3"/>
      <c r="AA111" s="3"/>
      <c r="AE111" s="3"/>
      <c r="AF111" s="3"/>
      <c r="AH111" s="3"/>
      <c r="AI111" s="3"/>
      <c r="AJ111" s="3"/>
      <c r="AN111" s="3"/>
      <c r="AO111" s="3"/>
      <c r="AQ111" s="3"/>
      <c r="AR111" s="3"/>
      <c r="AW111" s="3"/>
      <c r="AX111" s="3"/>
      <c r="AZ111" s="3"/>
      <c r="BA111" s="3"/>
      <c r="BF111" s="3"/>
      <c r="BG111" s="3"/>
      <c r="BI111" s="3"/>
      <c r="BJ111" s="3"/>
      <c r="BO111" s="3"/>
      <c r="BP111" s="3"/>
      <c r="BR111" s="3"/>
      <c r="BS111" s="3"/>
      <c r="BX111" s="3"/>
      <c r="BY111" s="3"/>
      <c r="CA111" s="3"/>
      <c r="CB111" s="3"/>
      <c r="CC111" s="3"/>
      <c r="CG111" s="3"/>
      <c r="CH111" s="3"/>
      <c r="CJ111" s="3"/>
      <c r="CK111" s="3"/>
      <c r="CP111" s="3"/>
      <c r="CQ111" s="3"/>
      <c r="CS111" s="3"/>
      <c r="CT111" s="3"/>
      <c r="CY111" s="3"/>
      <c r="CZ111" s="3"/>
      <c r="DB111" s="3"/>
      <c r="DC111" s="3"/>
    </row>
    <row r="112" spans="4:107" x14ac:dyDescent="0.25">
      <c r="D112" s="3"/>
      <c r="E112" s="40"/>
      <c r="G112" s="3"/>
      <c r="H112" s="3"/>
      <c r="I112" s="3"/>
      <c r="M112" s="3"/>
      <c r="N112" s="40"/>
      <c r="P112" s="3"/>
      <c r="Q112" s="3"/>
      <c r="R112" s="3"/>
      <c r="V112" s="3"/>
      <c r="W112" s="40"/>
      <c r="Y112" s="3"/>
      <c r="Z112" s="3"/>
      <c r="AA112" s="3"/>
      <c r="AE112" s="3"/>
      <c r="AF112" s="3"/>
      <c r="AH112" s="3"/>
      <c r="AI112" s="3"/>
      <c r="AJ112" s="3"/>
      <c r="AN112" s="3"/>
      <c r="AO112" s="3"/>
      <c r="AQ112" s="3"/>
      <c r="AR112" s="3"/>
      <c r="AW112" s="3"/>
      <c r="AX112" s="3"/>
      <c r="AZ112" s="3"/>
      <c r="BA112" s="3"/>
      <c r="BF112" s="3"/>
      <c r="BG112" s="3"/>
      <c r="BI112" s="3"/>
      <c r="BJ112" s="3"/>
      <c r="BO112" s="3"/>
      <c r="BP112" s="3"/>
      <c r="BR112" s="3"/>
      <c r="BS112" s="3"/>
      <c r="BX112" s="3"/>
      <c r="BY112" s="3"/>
      <c r="CA112" s="3"/>
      <c r="CB112" s="3"/>
      <c r="CC112" s="3"/>
      <c r="CG112" s="3"/>
      <c r="CH112" s="3"/>
      <c r="CJ112" s="3"/>
      <c r="CK112" s="3"/>
      <c r="CP112" s="3"/>
      <c r="CQ112" s="3"/>
      <c r="CS112" s="3"/>
      <c r="CT112" s="3"/>
      <c r="CY112" s="3"/>
      <c r="CZ112" s="3"/>
      <c r="DB112" s="3"/>
      <c r="DC112" s="3"/>
    </row>
    <row r="113" spans="4:107" x14ac:dyDescent="0.25">
      <c r="D113" s="3"/>
      <c r="E113" s="40"/>
      <c r="G113" s="3"/>
      <c r="H113" s="3"/>
      <c r="I113" s="3"/>
      <c r="M113" s="3"/>
      <c r="N113" s="40"/>
      <c r="P113" s="3"/>
      <c r="Q113" s="3"/>
      <c r="R113" s="3"/>
      <c r="V113" s="3"/>
      <c r="W113" s="40"/>
      <c r="Y113" s="3"/>
      <c r="Z113" s="3"/>
      <c r="AA113" s="3"/>
      <c r="AE113" s="3"/>
      <c r="AF113" s="3"/>
      <c r="AH113" s="3"/>
      <c r="AI113" s="3"/>
      <c r="AJ113" s="3"/>
      <c r="AN113" s="3"/>
      <c r="AO113" s="3"/>
      <c r="AQ113" s="3"/>
      <c r="AR113" s="3"/>
      <c r="AW113" s="3"/>
      <c r="AX113" s="3"/>
      <c r="AZ113" s="3"/>
      <c r="BA113" s="3"/>
      <c r="BF113" s="3"/>
      <c r="BG113" s="3"/>
      <c r="BI113" s="3"/>
      <c r="BJ113" s="3"/>
      <c r="BO113" s="3"/>
      <c r="BP113" s="3"/>
      <c r="BR113" s="3"/>
      <c r="BS113" s="3"/>
      <c r="BX113" s="3"/>
      <c r="BY113" s="3"/>
      <c r="CA113" s="3"/>
      <c r="CB113" s="3"/>
      <c r="CC113" s="3"/>
      <c r="CG113" s="3"/>
      <c r="CH113" s="3"/>
      <c r="CJ113" s="3"/>
      <c r="CK113" s="3"/>
      <c r="CP113" s="3"/>
      <c r="CQ113" s="3"/>
      <c r="CS113" s="3"/>
      <c r="CT113" s="3"/>
      <c r="CY113" s="3"/>
      <c r="CZ113" s="3"/>
      <c r="DB113" s="3"/>
      <c r="DC113" s="3"/>
    </row>
    <row r="114" spans="4:107" x14ac:dyDescent="0.25">
      <c r="D114" s="3"/>
      <c r="E114" s="40"/>
      <c r="G114" s="3"/>
      <c r="H114" s="3"/>
      <c r="I114" s="3"/>
      <c r="M114" s="3"/>
      <c r="N114" s="40"/>
      <c r="P114" s="3"/>
      <c r="Q114" s="3"/>
      <c r="R114" s="3"/>
      <c r="V114" s="3"/>
      <c r="W114" s="40"/>
      <c r="Y114" s="3"/>
      <c r="Z114" s="3"/>
      <c r="AA114" s="3"/>
      <c r="AE114" s="3"/>
      <c r="AF114" s="3"/>
      <c r="AH114" s="3"/>
      <c r="AI114" s="3"/>
      <c r="AJ114" s="3"/>
      <c r="AN114" s="3"/>
      <c r="AO114" s="3"/>
      <c r="AQ114" s="3"/>
      <c r="AR114" s="3"/>
      <c r="AW114" s="3"/>
      <c r="AX114" s="3"/>
      <c r="AZ114" s="3"/>
      <c r="BA114" s="3"/>
      <c r="BF114" s="3"/>
      <c r="BG114" s="3"/>
      <c r="BI114" s="3"/>
      <c r="BJ114" s="3"/>
      <c r="BO114" s="3"/>
      <c r="BP114" s="3"/>
      <c r="BR114" s="3"/>
      <c r="BS114" s="3"/>
      <c r="BX114" s="3"/>
      <c r="BY114" s="3"/>
      <c r="CA114" s="3"/>
      <c r="CB114" s="3"/>
      <c r="CC114" s="3"/>
      <c r="CG114" s="3"/>
      <c r="CH114" s="3"/>
      <c r="CJ114" s="3"/>
      <c r="CK114" s="3"/>
      <c r="CP114" s="3"/>
      <c r="CQ114" s="3"/>
      <c r="CS114" s="3"/>
      <c r="CT114" s="3"/>
      <c r="CY114" s="3"/>
      <c r="CZ114" s="3"/>
      <c r="DB114" s="3"/>
      <c r="DC114" s="3"/>
    </row>
    <row r="115" spans="4:107" x14ac:dyDescent="0.25">
      <c r="D115" s="3"/>
      <c r="E115" s="40"/>
      <c r="G115" s="3"/>
      <c r="H115" s="3"/>
      <c r="I115" s="3"/>
      <c r="M115" s="3"/>
      <c r="N115" s="40"/>
      <c r="P115" s="3"/>
      <c r="Q115" s="3"/>
      <c r="R115" s="3"/>
      <c r="V115" s="3"/>
      <c r="W115" s="40"/>
      <c r="Y115" s="3"/>
      <c r="Z115" s="3"/>
      <c r="AA115" s="3"/>
      <c r="AE115" s="3"/>
      <c r="AF115" s="3"/>
      <c r="AH115" s="3"/>
      <c r="AI115" s="3"/>
      <c r="AJ115" s="3"/>
      <c r="AN115" s="3"/>
      <c r="AO115" s="3"/>
      <c r="AQ115" s="3"/>
      <c r="AR115" s="3"/>
      <c r="AW115" s="3"/>
      <c r="AX115" s="3"/>
      <c r="AZ115" s="3"/>
      <c r="BA115" s="3"/>
      <c r="BF115" s="3"/>
      <c r="BG115" s="3"/>
      <c r="BI115" s="3"/>
      <c r="BJ115" s="3"/>
      <c r="BO115" s="3"/>
      <c r="BP115" s="3"/>
      <c r="BR115" s="3"/>
      <c r="BS115" s="3"/>
      <c r="BX115" s="3"/>
      <c r="BY115" s="3"/>
      <c r="CA115" s="3"/>
      <c r="CB115" s="3"/>
      <c r="CC115" s="3"/>
      <c r="CG115" s="3"/>
      <c r="CH115" s="3"/>
      <c r="CJ115" s="3"/>
      <c r="CK115" s="3"/>
      <c r="CP115" s="3"/>
      <c r="CQ115" s="3"/>
      <c r="CS115" s="3"/>
      <c r="CT115" s="3"/>
      <c r="CY115" s="3"/>
      <c r="CZ115" s="3"/>
      <c r="DB115" s="3"/>
      <c r="DC115" s="3"/>
    </row>
    <row r="116" spans="4:107" x14ac:dyDescent="0.25">
      <c r="D116" s="3"/>
      <c r="E116" s="40"/>
      <c r="G116" s="3"/>
      <c r="H116" s="3"/>
      <c r="I116" s="3"/>
      <c r="M116" s="3"/>
      <c r="N116" s="40"/>
      <c r="P116" s="3"/>
      <c r="Q116" s="3"/>
      <c r="R116" s="3"/>
      <c r="V116" s="3"/>
      <c r="W116" s="40"/>
      <c r="Y116" s="3"/>
      <c r="Z116" s="3"/>
      <c r="AA116" s="3"/>
      <c r="AE116" s="3"/>
      <c r="AF116" s="3"/>
      <c r="AH116" s="3"/>
      <c r="AI116" s="3"/>
      <c r="AJ116" s="3"/>
      <c r="AN116" s="3"/>
      <c r="AO116" s="3"/>
      <c r="AQ116" s="3"/>
      <c r="AR116" s="3"/>
      <c r="AW116" s="3"/>
      <c r="AX116" s="3"/>
      <c r="AZ116" s="3"/>
      <c r="BA116" s="3"/>
      <c r="BF116" s="3"/>
      <c r="BG116" s="3"/>
      <c r="BI116" s="3"/>
      <c r="BJ116" s="3"/>
      <c r="BO116" s="3"/>
      <c r="BP116" s="3"/>
      <c r="BR116" s="3"/>
      <c r="BS116" s="3"/>
      <c r="BX116" s="3"/>
      <c r="BY116" s="3"/>
      <c r="CA116" s="3"/>
      <c r="CB116" s="3"/>
      <c r="CC116" s="3"/>
      <c r="CG116" s="3"/>
      <c r="CH116" s="3"/>
      <c r="CJ116" s="3"/>
      <c r="CK116" s="3"/>
      <c r="CP116" s="3"/>
      <c r="CQ116" s="3"/>
      <c r="CS116" s="3"/>
      <c r="CT116" s="3"/>
      <c r="CY116" s="3"/>
      <c r="CZ116" s="3"/>
      <c r="DB116" s="3"/>
      <c r="DC116" s="3"/>
    </row>
    <row r="117" spans="4:107" x14ac:dyDescent="0.25">
      <c r="D117" s="3"/>
      <c r="E117" s="40"/>
      <c r="G117" s="3"/>
      <c r="H117" s="3"/>
      <c r="I117" s="3"/>
      <c r="M117" s="3"/>
      <c r="N117" s="40"/>
      <c r="P117" s="3"/>
      <c r="Q117" s="3"/>
      <c r="R117" s="3"/>
      <c r="V117" s="3"/>
      <c r="W117" s="40"/>
      <c r="Y117" s="3"/>
      <c r="Z117" s="3"/>
      <c r="AA117" s="3"/>
      <c r="AE117" s="3"/>
      <c r="AF117" s="3"/>
      <c r="AH117" s="3"/>
      <c r="AI117" s="3"/>
      <c r="AJ117" s="3"/>
      <c r="AN117" s="3"/>
      <c r="AO117" s="3"/>
      <c r="AQ117" s="3"/>
      <c r="AR117" s="3"/>
      <c r="AW117" s="3"/>
      <c r="AX117" s="3"/>
      <c r="AZ117" s="3"/>
      <c r="BA117" s="3"/>
      <c r="BF117" s="3"/>
      <c r="BG117" s="3"/>
      <c r="BI117" s="3"/>
      <c r="BJ117" s="3"/>
      <c r="BO117" s="3"/>
      <c r="BP117" s="3"/>
      <c r="BR117" s="3"/>
      <c r="BS117" s="3"/>
      <c r="BX117" s="3"/>
      <c r="BY117" s="3"/>
      <c r="CA117" s="3"/>
      <c r="CB117" s="3"/>
      <c r="CC117" s="3"/>
      <c r="CG117" s="3"/>
      <c r="CH117" s="3"/>
      <c r="CJ117" s="3"/>
      <c r="CK117" s="3"/>
      <c r="CP117" s="3"/>
      <c r="CQ117" s="3"/>
      <c r="CS117" s="3"/>
      <c r="CT117" s="3"/>
      <c r="CY117" s="3"/>
      <c r="CZ117" s="3"/>
      <c r="DB117" s="3"/>
      <c r="DC117" s="3"/>
    </row>
    <row r="118" spans="4:107" x14ac:dyDescent="0.25">
      <c r="D118" s="3"/>
      <c r="E118" s="40"/>
      <c r="G118" s="3"/>
      <c r="H118" s="3"/>
      <c r="I118" s="3"/>
      <c r="M118" s="3"/>
      <c r="N118" s="40"/>
      <c r="P118" s="3"/>
      <c r="Q118" s="3"/>
      <c r="R118" s="3"/>
      <c r="V118" s="3"/>
      <c r="W118" s="40"/>
      <c r="Y118" s="3"/>
      <c r="Z118" s="3"/>
      <c r="AA118" s="3"/>
      <c r="AE118" s="3"/>
      <c r="AF118" s="3"/>
      <c r="AH118" s="3"/>
      <c r="AI118" s="3"/>
      <c r="AJ118" s="3"/>
      <c r="AN118" s="3"/>
      <c r="AO118" s="3"/>
      <c r="AQ118" s="3"/>
      <c r="AR118" s="3"/>
      <c r="AW118" s="3"/>
      <c r="AX118" s="3"/>
      <c r="AZ118" s="3"/>
      <c r="BA118" s="3"/>
      <c r="BF118" s="3"/>
      <c r="BG118" s="3"/>
      <c r="BI118" s="3"/>
      <c r="BJ118" s="3"/>
      <c r="BO118" s="3"/>
      <c r="BP118" s="3"/>
      <c r="BR118" s="3"/>
      <c r="BS118" s="3"/>
      <c r="BX118" s="3"/>
      <c r="BY118" s="3"/>
      <c r="CA118" s="3"/>
      <c r="CB118" s="3"/>
      <c r="CC118" s="3"/>
      <c r="CG118" s="3"/>
      <c r="CH118" s="3"/>
      <c r="CJ118" s="3"/>
      <c r="CK118" s="3"/>
      <c r="CP118" s="3"/>
      <c r="CQ118" s="3"/>
      <c r="CS118" s="3"/>
      <c r="CT118" s="3"/>
      <c r="CY118" s="3"/>
      <c r="CZ118" s="3"/>
      <c r="DB118" s="3"/>
      <c r="DC118" s="3"/>
    </row>
    <row r="119" spans="4:107" x14ac:dyDescent="0.25">
      <c r="D119" s="3"/>
      <c r="E119" s="40"/>
      <c r="G119" s="3"/>
      <c r="H119" s="3"/>
      <c r="I119" s="3"/>
      <c r="M119" s="3"/>
      <c r="N119" s="40"/>
      <c r="P119" s="3"/>
      <c r="Q119" s="3"/>
      <c r="R119" s="3"/>
      <c r="V119" s="3"/>
      <c r="W119" s="40"/>
      <c r="Y119" s="3"/>
      <c r="Z119" s="3"/>
      <c r="AA119" s="3"/>
      <c r="AE119" s="3"/>
      <c r="AF119" s="3"/>
      <c r="AH119" s="3"/>
      <c r="AI119" s="3"/>
      <c r="AJ119" s="3"/>
      <c r="AN119" s="3"/>
      <c r="AO119" s="3"/>
      <c r="AQ119" s="3"/>
      <c r="AR119" s="3"/>
      <c r="AW119" s="3"/>
      <c r="AX119" s="3"/>
      <c r="AZ119" s="3"/>
      <c r="BA119" s="3"/>
      <c r="BF119" s="3"/>
      <c r="BG119" s="3"/>
      <c r="BI119" s="3"/>
      <c r="BJ119" s="3"/>
      <c r="BO119" s="3"/>
      <c r="BP119" s="3"/>
      <c r="BR119" s="3"/>
      <c r="BS119" s="3"/>
      <c r="BX119" s="3"/>
      <c r="BY119" s="3"/>
      <c r="CA119" s="3"/>
      <c r="CB119" s="3"/>
      <c r="CC119" s="3"/>
      <c r="CG119" s="3"/>
      <c r="CH119" s="3"/>
      <c r="CJ119" s="3"/>
      <c r="CK119" s="3"/>
      <c r="CP119" s="3"/>
      <c r="CQ119" s="3"/>
      <c r="CS119" s="3"/>
      <c r="CT119" s="3"/>
      <c r="CY119" s="3"/>
      <c r="CZ119" s="3"/>
      <c r="DB119" s="3"/>
      <c r="DC119" s="3"/>
    </row>
    <row r="120" spans="4:107" x14ac:dyDescent="0.25">
      <c r="D120" s="3"/>
      <c r="E120" s="40"/>
      <c r="G120" s="3"/>
      <c r="H120" s="3"/>
      <c r="I120" s="3"/>
      <c r="M120" s="3"/>
      <c r="N120" s="40"/>
      <c r="P120" s="3"/>
      <c r="Q120" s="3"/>
      <c r="R120" s="3"/>
      <c r="V120" s="3"/>
      <c r="W120" s="40"/>
      <c r="Y120" s="3"/>
      <c r="Z120" s="3"/>
      <c r="AA120" s="3"/>
      <c r="AE120" s="3"/>
      <c r="AF120" s="3"/>
      <c r="AH120" s="3"/>
      <c r="AI120" s="3"/>
      <c r="AJ120" s="3"/>
      <c r="AN120" s="3"/>
      <c r="AO120" s="3"/>
      <c r="AQ120" s="3"/>
      <c r="AR120" s="3"/>
      <c r="AW120" s="3"/>
      <c r="AX120" s="3"/>
      <c r="AZ120" s="3"/>
      <c r="BA120" s="3"/>
      <c r="BF120" s="3"/>
      <c r="BG120" s="3"/>
      <c r="BI120" s="3"/>
      <c r="BJ120" s="3"/>
      <c r="BO120" s="3"/>
      <c r="BP120" s="3"/>
      <c r="BR120" s="3"/>
      <c r="BS120" s="3"/>
      <c r="BX120" s="3"/>
      <c r="BY120" s="3"/>
      <c r="CA120" s="3"/>
      <c r="CB120" s="3"/>
      <c r="CC120" s="3"/>
      <c r="CG120" s="3"/>
      <c r="CH120" s="3"/>
      <c r="CJ120" s="3"/>
      <c r="CK120" s="3"/>
      <c r="CP120" s="3"/>
      <c r="CQ120" s="3"/>
      <c r="CS120" s="3"/>
      <c r="CT120" s="3"/>
      <c r="CY120" s="3"/>
      <c r="CZ120" s="3"/>
      <c r="DB120" s="3"/>
      <c r="DC120" s="3"/>
    </row>
    <row r="121" spans="4:107" x14ac:dyDescent="0.25">
      <c r="D121" s="3"/>
      <c r="E121" s="40"/>
      <c r="G121" s="3"/>
      <c r="H121" s="3"/>
      <c r="I121" s="3"/>
      <c r="M121" s="3"/>
      <c r="N121" s="40"/>
      <c r="P121" s="3"/>
      <c r="Q121" s="3"/>
      <c r="R121" s="3"/>
      <c r="V121" s="3"/>
      <c r="W121" s="40"/>
      <c r="Y121" s="3"/>
      <c r="Z121" s="3"/>
      <c r="AA121" s="3"/>
      <c r="AE121" s="3"/>
      <c r="AF121" s="3"/>
      <c r="AH121" s="3"/>
      <c r="AI121" s="3"/>
      <c r="AJ121" s="3"/>
      <c r="AN121" s="3"/>
      <c r="AO121" s="3"/>
      <c r="AQ121" s="3"/>
      <c r="AR121" s="3"/>
      <c r="AW121" s="3"/>
      <c r="AX121" s="3"/>
      <c r="AZ121" s="3"/>
      <c r="BA121" s="3"/>
      <c r="BF121" s="3"/>
      <c r="BG121" s="3"/>
      <c r="BI121" s="3"/>
      <c r="BJ121" s="3"/>
      <c r="BO121" s="3"/>
      <c r="BP121" s="3"/>
      <c r="BR121" s="3"/>
      <c r="BS121" s="3"/>
      <c r="BX121" s="3"/>
      <c r="BY121" s="3"/>
      <c r="CA121" s="3"/>
      <c r="CB121" s="3"/>
      <c r="CC121" s="3"/>
      <c r="CG121" s="3"/>
      <c r="CH121" s="3"/>
      <c r="CJ121" s="3"/>
      <c r="CK121" s="3"/>
      <c r="CP121" s="3"/>
      <c r="CQ121" s="3"/>
      <c r="CS121" s="3"/>
      <c r="CT121" s="3"/>
      <c r="CY121" s="3"/>
      <c r="CZ121" s="3"/>
      <c r="DB121" s="3"/>
      <c r="DC121" s="3"/>
    </row>
    <row r="122" spans="4:107" x14ac:dyDescent="0.25">
      <c r="D122" s="3"/>
      <c r="E122" s="40"/>
      <c r="G122" s="3"/>
      <c r="H122" s="3"/>
      <c r="I122" s="3"/>
      <c r="M122" s="3"/>
      <c r="N122" s="40"/>
      <c r="P122" s="3"/>
      <c r="Q122" s="3"/>
      <c r="R122" s="3"/>
      <c r="V122" s="3"/>
      <c r="W122" s="40"/>
      <c r="Y122" s="3"/>
      <c r="Z122" s="3"/>
      <c r="AA122" s="3"/>
      <c r="AE122" s="3"/>
      <c r="AF122" s="3"/>
      <c r="AH122" s="3"/>
      <c r="AI122" s="3"/>
      <c r="AJ122" s="3"/>
      <c r="AN122" s="3"/>
      <c r="AO122" s="3"/>
      <c r="AQ122" s="3"/>
      <c r="AR122" s="3"/>
      <c r="AW122" s="3"/>
      <c r="AX122" s="3"/>
      <c r="AZ122" s="3"/>
      <c r="BA122" s="3"/>
      <c r="BF122" s="3"/>
      <c r="BG122" s="3"/>
      <c r="BI122" s="3"/>
      <c r="BJ122" s="3"/>
      <c r="BO122" s="3"/>
      <c r="BP122" s="3"/>
      <c r="BR122" s="3"/>
      <c r="BS122" s="3"/>
      <c r="BX122" s="3"/>
      <c r="BY122" s="3"/>
      <c r="CA122" s="3"/>
      <c r="CB122" s="3"/>
      <c r="CC122" s="3"/>
      <c r="CG122" s="3"/>
      <c r="CH122" s="3"/>
      <c r="CJ122" s="3"/>
      <c r="CK122" s="3"/>
      <c r="CP122" s="3"/>
      <c r="CQ122" s="3"/>
      <c r="CS122" s="3"/>
      <c r="CT122" s="3"/>
      <c r="CY122" s="3"/>
      <c r="CZ122" s="3"/>
      <c r="DB122" s="3"/>
      <c r="DC122" s="3"/>
    </row>
    <row r="123" spans="4:107" x14ac:dyDescent="0.25">
      <c r="D123" s="3"/>
      <c r="E123" s="40"/>
      <c r="G123" s="3"/>
      <c r="H123" s="3"/>
      <c r="I123" s="3"/>
      <c r="M123" s="3"/>
      <c r="N123" s="40"/>
      <c r="P123" s="3"/>
      <c r="Q123" s="3"/>
      <c r="R123" s="3"/>
      <c r="V123" s="3"/>
      <c r="W123" s="40"/>
      <c r="Y123" s="3"/>
      <c r="Z123" s="3"/>
      <c r="AA123" s="3"/>
      <c r="AE123" s="3"/>
      <c r="AF123" s="3"/>
      <c r="AH123" s="3"/>
      <c r="AI123" s="3"/>
      <c r="AJ123" s="3"/>
      <c r="AN123" s="3"/>
      <c r="AO123" s="3"/>
      <c r="AQ123" s="3"/>
      <c r="AR123" s="3"/>
      <c r="AW123" s="3"/>
      <c r="AX123" s="3"/>
      <c r="AZ123" s="3"/>
      <c r="BA123" s="3"/>
      <c r="BF123" s="3"/>
      <c r="BG123" s="3"/>
      <c r="BI123" s="3"/>
      <c r="BJ123" s="3"/>
      <c r="BO123" s="3"/>
      <c r="BP123" s="3"/>
      <c r="BR123" s="3"/>
      <c r="BS123" s="3"/>
      <c r="BX123" s="3"/>
      <c r="BY123" s="3"/>
      <c r="CA123" s="3"/>
      <c r="CB123" s="3"/>
      <c r="CC123" s="3"/>
      <c r="CG123" s="3"/>
      <c r="CH123" s="3"/>
      <c r="CJ123" s="3"/>
      <c r="CK123" s="3"/>
      <c r="CP123" s="3"/>
      <c r="CQ123" s="3"/>
      <c r="CS123" s="3"/>
      <c r="CT123" s="3"/>
      <c r="CY123" s="3"/>
      <c r="CZ123" s="3"/>
      <c r="DB123" s="3"/>
      <c r="DC123" s="3"/>
    </row>
    <row r="124" spans="4:107" x14ac:dyDescent="0.25">
      <c r="D124" s="3"/>
      <c r="E124" s="40"/>
      <c r="G124" s="3"/>
      <c r="H124" s="3"/>
      <c r="I124" s="3"/>
      <c r="M124" s="3"/>
      <c r="N124" s="40"/>
      <c r="P124" s="3"/>
      <c r="Q124" s="3"/>
      <c r="R124" s="3"/>
      <c r="V124" s="3"/>
      <c r="W124" s="40"/>
      <c r="Y124" s="3"/>
      <c r="Z124" s="3"/>
      <c r="AA124" s="3"/>
      <c r="AE124" s="3"/>
      <c r="AF124" s="3"/>
      <c r="AH124" s="3"/>
      <c r="AI124" s="3"/>
      <c r="AJ124" s="3"/>
      <c r="AN124" s="3"/>
      <c r="AO124" s="3"/>
      <c r="AQ124" s="3"/>
      <c r="AR124" s="3"/>
      <c r="AW124" s="3"/>
      <c r="AX124" s="3"/>
      <c r="AZ124" s="3"/>
      <c r="BA124" s="3"/>
      <c r="BF124" s="3"/>
      <c r="BG124" s="3"/>
      <c r="BI124" s="3"/>
      <c r="BJ124" s="3"/>
      <c r="BO124" s="3"/>
      <c r="BP124" s="3"/>
      <c r="BR124" s="3"/>
      <c r="BS124" s="3"/>
      <c r="BX124" s="3"/>
      <c r="BY124" s="3"/>
      <c r="CA124" s="3"/>
      <c r="CB124" s="3"/>
      <c r="CC124" s="3"/>
      <c r="CG124" s="3"/>
      <c r="CH124" s="3"/>
      <c r="CJ124" s="3"/>
      <c r="CK124" s="3"/>
      <c r="CP124" s="3"/>
      <c r="CQ124" s="3"/>
      <c r="CS124" s="3"/>
      <c r="CT124" s="3"/>
      <c r="CY124" s="3"/>
      <c r="CZ124" s="3"/>
      <c r="DB124" s="3"/>
      <c r="DC124" s="3"/>
    </row>
    <row r="125" spans="4:107" x14ac:dyDescent="0.25">
      <c r="D125" s="3"/>
      <c r="E125" s="40"/>
      <c r="G125" s="3"/>
      <c r="H125" s="3"/>
      <c r="I125" s="3"/>
      <c r="M125" s="3"/>
      <c r="N125" s="40"/>
      <c r="P125" s="3"/>
      <c r="Q125" s="3"/>
      <c r="R125" s="3"/>
      <c r="V125" s="3"/>
      <c r="W125" s="40"/>
      <c r="Y125" s="3"/>
      <c r="Z125" s="3"/>
      <c r="AA125" s="3"/>
      <c r="AE125" s="3"/>
      <c r="AF125" s="3"/>
      <c r="AH125" s="3"/>
      <c r="AI125" s="3"/>
      <c r="AJ125" s="3"/>
      <c r="AN125" s="3"/>
      <c r="AO125" s="3"/>
      <c r="AQ125" s="3"/>
      <c r="AR125" s="3"/>
      <c r="AW125" s="3"/>
      <c r="AX125" s="3"/>
      <c r="AZ125" s="3"/>
      <c r="BA125" s="3"/>
      <c r="BF125" s="3"/>
      <c r="BG125" s="3"/>
      <c r="BI125" s="3"/>
      <c r="BJ125" s="3"/>
      <c r="BO125" s="3"/>
      <c r="BP125" s="3"/>
      <c r="BR125" s="3"/>
      <c r="BS125" s="3"/>
      <c r="BX125" s="3"/>
      <c r="BY125" s="3"/>
      <c r="CA125" s="3"/>
      <c r="CB125" s="3"/>
      <c r="CC125" s="3"/>
      <c r="CG125" s="3"/>
      <c r="CH125" s="3"/>
      <c r="CJ125" s="3"/>
      <c r="CK125" s="3"/>
      <c r="CP125" s="3"/>
      <c r="CQ125" s="3"/>
      <c r="CS125" s="3"/>
      <c r="CT125" s="3"/>
      <c r="CY125" s="3"/>
      <c r="CZ125" s="3"/>
      <c r="DB125" s="3"/>
      <c r="DC125" s="3"/>
    </row>
    <row r="126" spans="4:107" x14ac:dyDescent="0.25">
      <c r="D126" s="3"/>
      <c r="E126" s="40"/>
      <c r="G126" s="3"/>
      <c r="H126" s="3"/>
      <c r="I126" s="3"/>
      <c r="M126" s="3"/>
      <c r="N126" s="40"/>
      <c r="P126" s="3"/>
      <c r="Q126" s="3"/>
      <c r="R126" s="3"/>
      <c r="V126" s="3"/>
      <c r="W126" s="40"/>
      <c r="Y126" s="3"/>
      <c r="Z126" s="3"/>
      <c r="AA126" s="3"/>
      <c r="AE126" s="3"/>
      <c r="AF126" s="3"/>
      <c r="AH126" s="3"/>
      <c r="AI126" s="3"/>
      <c r="AJ126" s="3"/>
      <c r="AN126" s="3"/>
      <c r="AO126" s="3"/>
      <c r="AQ126" s="3"/>
      <c r="AR126" s="3"/>
      <c r="AW126" s="3"/>
      <c r="AX126" s="3"/>
      <c r="AZ126" s="3"/>
      <c r="BA126" s="3"/>
      <c r="BF126" s="3"/>
      <c r="BG126" s="3"/>
      <c r="BI126" s="3"/>
      <c r="BJ126" s="3"/>
      <c r="BO126" s="3"/>
      <c r="BP126" s="3"/>
      <c r="BR126" s="3"/>
      <c r="BS126" s="3"/>
      <c r="BX126" s="3"/>
      <c r="BY126" s="3"/>
      <c r="CA126" s="3"/>
      <c r="CB126" s="3"/>
      <c r="CC126" s="3"/>
      <c r="CG126" s="3"/>
      <c r="CH126" s="3"/>
      <c r="CJ126" s="3"/>
      <c r="CK126" s="3"/>
      <c r="CP126" s="3"/>
      <c r="CQ126" s="3"/>
      <c r="CS126" s="3"/>
      <c r="CT126" s="3"/>
      <c r="CY126" s="3"/>
      <c r="CZ126" s="3"/>
      <c r="DB126" s="3"/>
      <c r="DC126" s="3"/>
    </row>
    <row r="127" spans="4:107" x14ac:dyDescent="0.25">
      <c r="D127" s="3"/>
      <c r="E127" s="40"/>
      <c r="G127" s="3"/>
      <c r="H127" s="3"/>
      <c r="I127" s="3"/>
      <c r="M127" s="3"/>
      <c r="N127" s="40"/>
      <c r="P127" s="3"/>
      <c r="Q127" s="3"/>
      <c r="R127" s="3"/>
      <c r="V127" s="3"/>
      <c r="W127" s="40"/>
      <c r="Y127" s="3"/>
      <c r="Z127" s="3"/>
      <c r="AA127" s="3"/>
      <c r="AE127" s="3"/>
      <c r="AF127" s="3"/>
      <c r="AH127" s="3"/>
      <c r="AI127" s="3"/>
      <c r="AJ127" s="3"/>
      <c r="AN127" s="3"/>
      <c r="AO127" s="3"/>
      <c r="AQ127" s="3"/>
      <c r="AR127" s="3"/>
      <c r="AW127" s="3"/>
      <c r="AX127" s="3"/>
      <c r="AZ127" s="3"/>
      <c r="BA127" s="3"/>
      <c r="BF127" s="3"/>
      <c r="BG127" s="3"/>
      <c r="BI127" s="3"/>
      <c r="BJ127" s="3"/>
      <c r="BO127" s="3"/>
      <c r="BP127" s="3"/>
      <c r="BR127" s="3"/>
      <c r="BS127" s="3"/>
      <c r="BX127" s="3"/>
      <c r="BY127" s="3"/>
      <c r="CA127" s="3"/>
      <c r="CB127" s="3"/>
      <c r="CC127" s="3"/>
      <c r="CG127" s="3"/>
      <c r="CH127" s="3"/>
      <c r="CJ127" s="3"/>
      <c r="CK127" s="3"/>
      <c r="CP127" s="3"/>
      <c r="CQ127" s="3"/>
      <c r="CS127" s="3"/>
      <c r="CT127" s="3"/>
      <c r="CY127" s="3"/>
      <c r="CZ127" s="3"/>
      <c r="DB127" s="3"/>
      <c r="DC127" s="3"/>
    </row>
    <row r="128" spans="4:107" x14ac:dyDescent="0.25">
      <c r="D128" s="3"/>
      <c r="E128" s="40"/>
      <c r="G128" s="3"/>
      <c r="H128" s="3"/>
      <c r="I128" s="3"/>
      <c r="M128" s="3"/>
      <c r="N128" s="40"/>
      <c r="P128" s="3"/>
      <c r="Q128" s="3"/>
      <c r="R128" s="3"/>
      <c r="V128" s="3"/>
      <c r="W128" s="40"/>
      <c r="Y128" s="3"/>
      <c r="Z128" s="3"/>
      <c r="AA128" s="3"/>
      <c r="AE128" s="3"/>
      <c r="AF128" s="3"/>
      <c r="AH128" s="3"/>
      <c r="AI128" s="3"/>
      <c r="AJ128" s="3"/>
      <c r="AN128" s="3"/>
      <c r="AO128" s="3"/>
      <c r="AQ128" s="3"/>
      <c r="AR128" s="3"/>
      <c r="AW128" s="3"/>
      <c r="AX128" s="3"/>
      <c r="AZ128" s="3"/>
      <c r="BA128" s="3"/>
      <c r="BF128" s="3"/>
      <c r="BG128" s="3"/>
      <c r="BI128" s="3"/>
      <c r="BJ128" s="3"/>
      <c r="BO128" s="3"/>
      <c r="BP128" s="3"/>
      <c r="BR128" s="3"/>
      <c r="BS128" s="3"/>
      <c r="BX128" s="3"/>
      <c r="BY128" s="3"/>
      <c r="CA128" s="3"/>
      <c r="CB128" s="3"/>
      <c r="CC128" s="3"/>
      <c r="CG128" s="3"/>
      <c r="CH128" s="3"/>
      <c r="CJ128" s="3"/>
      <c r="CK128" s="3"/>
      <c r="CP128" s="3"/>
      <c r="CQ128" s="3"/>
      <c r="CS128" s="3"/>
      <c r="CT128" s="3"/>
      <c r="CY128" s="3"/>
      <c r="CZ128" s="3"/>
      <c r="DB128" s="3"/>
      <c r="DC128" s="3"/>
    </row>
    <row r="129" spans="4:107" x14ac:dyDescent="0.25">
      <c r="D129" s="3"/>
      <c r="E129" s="40"/>
      <c r="G129" s="3"/>
      <c r="H129" s="3"/>
      <c r="I129" s="3"/>
      <c r="M129" s="3"/>
      <c r="N129" s="40"/>
      <c r="P129" s="3"/>
      <c r="Q129" s="3"/>
      <c r="R129" s="3"/>
      <c r="V129" s="3"/>
      <c r="W129" s="40"/>
      <c r="Y129" s="3"/>
      <c r="Z129" s="3"/>
      <c r="AA129" s="3"/>
      <c r="AE129" s="3"/>
      <c r="AF129" s="3"/>
      <c r="AH129" s="3"/>
      <c r="AI129" s="3"/>
      <c r="AJ129" s="3"/>
      <c r="AN129" s="3"/>
      <c r="AO129" s="3"/>
      <c r="AQ129" s="3"/>
      <c r="AR129" s="3"/>
      <c r="AW129" s="3"/>
      <c r="AX129" s="3"/>
      <c r="AZ129" s="3"/>
      <c r="BA129" s="3"/>
      <c r="BF129" s="3"/>
      <c r="BG129" s="3"/>
      <c r="BI129" s="3"/>
      <c r="BJ129" s="3"/>
      <c r="BO129" s="3"/>
      <c r="BP129" s="3"/>
      <c r="BR129" s="3"/>
      <c r="BS129" s="3"/>
      <c r="BX129" s="3"/>
      <c r="BY129" s="3"/>
      <c r="CA129" s="3"/>
      <c r="CB129" s="3"/>
      <c r="CC129" s="3"/>
      <c r="CG129" s="3"/>
      <c r="CH129" s="3"/>
      <c r="CJ129" s="3"/>
      <c r="CK129" s="3"/>
      <c r="CP129" s="3"/>
      <c r="CQ129" s="3"/>
      <c r="CS129" s="3"/>
      <c r="CT129" s="3"/>
      <c r="CY129" s="3"/>
      <c r="CZ129" s="3"/>
      <c r="DB129" s="3"/>
      <c r="DC129" s="3"/>
    </row>
    <row r="130" spans="4:107" x14ac:dyDescent="0.25">
      <c r="D130" s="3"/>
      <c r="E130" s="40"/>
      <c r="G130" s="3"/>
      <c r="H130" s="3"/>
      <c r="I130" s="3"/>
      <c r="M130" s="3"/>
      <c r="N130" s="40"/>
      <c r="P130" s="3"/>
      <c r="Q130" s="3"/>
      <c r="R130" s="3"/>
      <c r="V130" s="3"/>
      <c r="W130" s="40"/>
      <c r="Y130" s="3"/>
      <c r="Z130" s="3"/>
      <c r="AA130" s="3"/>
      <c r="AE130" s="3"/>
      <c r="AF130" s="3"/>
      <c r="AH130" s="3"/>
      <c r="AI130" s="3"/>
      <c r="AJ130" s="3"/>
      <c r="AN130" s="3"/>
      <c r="AO130" s="3"/>
      <c r="AQ130" s="3"/>
      <c r="AR130" s="3"/>
      <c r="AW130" s="3"/>
      <c r="AX130" s="3"/>
      <c r="AZ130" s="3"/>
      <c r="BA130" s="3"/>
      <c r="BF130" s="3"/>
      <c r="BG130" s="3"/>
      <c r="BI130" s="3"/>
      <c r="BJ130" s="3"/>
      <c r="BO130" s="3"/>
      <c r="BP130" s="3"/>
      <c r="BR130" s="3"/>
      <c r="BS130" s="3"/>
      <c r="BX130" s="3"/>
      <c r="BY130" s="3"/>
      <c r="CA130" s="3"/>
      <c r="CB130" s="3"/>
      <c r="CC130" s="3"/>
      <c r="CG130" s="3"/>
      <c r="CH130" s="3"/>
      <c r="CJ130" s="3"/>
      <c r="CK130" s="3"/>
      <c r="CP130" s="3"/>
      <c r="CQ130" s="3"/>
      <c r="CS130" s="3"/>
      <c r="CT130" s="3"/>
      <c r="CY130" s="3"/>
      <c r="CZ130" s="3"/>
      <c r="DB130" s="3"/>
      <c r="DC130" s="3"/>
    </row>
    <row r="131" spans="4:107" x14ac:dyDescent="0.25">
      <c r="D131" s="3"/>
      <c r="E131" s="40"/>
      <c r="G131" s="3"/>
      <c r="H131" s="3"/>
      <c r="I131" s="3"/>
      <c r="M131" s="3"/>
      <c r="N131" s="40"/>
      <c r="P131" s="3"/>
      <c r="Q131" s="3"/>
      <c r="R131" s="3"/>
      <c r="V131" s="3"/>
      <c r="W131" s="40"/>
      <c r="Y131" s="3"/>
      <c r="Z131" s="3"/>
      <c r="AA131" s="3"/>
      <c r="AE131" s="3"/>
      <c r="AF131" s="3"/>
      <c r="AH131" s="3"/>
      <c r="AI131" s="3"/>
      <c r="AJ131" s="3"/>
      <c r="AN131" s="3"/>
      <c r="AO131" s="3"/>
      <c r="AQ131" s="3"/>
      <c r="AR131" s="3"/>
      <c r="AW131" s="3"/>
      <c r="AX131" s="3"/>
      <c r="AZ131" s="3"/>
      <c r="BA131" s="3"/>
      <c r="BF131" s="3"/>
      <c r="BG131" s="3"/>
      <c r="BI131" s="3"/>
      <c r="BJ131" s="3"/>
      <c r="BO131" s="3"/>
      <c r="BP131" s="3"/>
      <c r="BR131" s="3"/>
      <c r="BS131" s="3"/>
      <c r="BX131" s="3"/>
      <c r="BY131" s="3"/>
      <c r="CA131" s="3"/>
      <c r="CB131" s="3"/>
      <c r="CC131" s="3"/>
      <c r="CG131" s="3"/>
      <c r="CH131" s="3"/>
      <c r="CJ131" s="3"/>
      <c r="CK131" s="3"/>
      <c r="CP131" s="3"/>
      <c r="CQ131" s="3"/>
      <c r="CS131" s="3"/>
      <c r="CT131" s="3"/>
      <c r="CY131" s="3"/>
      <c r="CZ131" s="3"/>
      <c r="DB131" s="3"/>
      <c r="DC131" s="3"/>
    </row>
    <row r="132" spans="4:107" x14ac:dyDescent="0.25">
      <c r="D132" s="3"/>
      <c r="E132" s="40"/>
      <c r="G132" s="3"/>
      <c r="H132" s="3"/>
      <c r="I132" s="3"/>
      <c r="M132" s="3"/>
      <c r="N132" s="40"/>
      <c r="P132" s="3"/>
      <c r="Q132" s="3"/>
      <c r="R132" s="3"/>
      <c r="V132" s="3"/>
      <c r="W132" s="40"/>
      <c r="Y132" s="3"/>
      <c r="Z132" s="3"/>
      <c r="AA132" s="3"/>
      <c r="AE132" s="3"/>
      <c r="AF132" s="3"/>
      <c r="AH132" s="3"/>
      <c r="AI132" s="3"/>
      <c r="AJ132" s="3"/>
      <c r="AN132" s="3"/>
      <c r="AO132" s="3"/>
      <c r="AQ132" s="3"/>
      <c r="AR132" s="3"/>
      <c r="AW132" s="3"/>
      <c r="AX132" s="3"/>
      <c r="AZ132" s="3"/>
      <c r="BA132" s="3"/>
      <c r="BF132" s="3"/>
      <c r="BG132" s="3"/>
      <c r="BI132" s="3"/>
      <c r="BJ132" s="3"/>
      <c r="BO132" s="3"/>
      <c r="BP132" s="3"/>
      <c r="BR132" s="3"/>
      <c r="BS132" s="3"/>
      <c r="BX132" s="3"/>
      <c r="BY132" s="3"/>
      <c r="CA132" s="3"/>
      <c r="CB132" s="3"/>
      <c r="CC132" s="3"/>
      <c r="CG132" s="3"/>
      <c r="CH132" s="3"/>
      <c r="CJ132" s="3"/>
      <c r="CK132" s="3"/>
      <c r="CP132" s="3"/>
      <c r="CQ132" s="3"/>
      <c r="CS132" s="3"/>
      <c r="CT132" s="3"/>
      <c r="CY132" s="3"/>
      <c r="CZ132" s="3"/>
      <c r="DB132" s="3"/>
      <c r="DC132" s="3"/>
    </row>
    <row r="133" spans="4:107" x14ac:dyDescent="0.25">
      <c r="D133" s="3"/>
      <c r="E133" s="40"/>
      <c r="G133" s="3"/>
      <c r="H133" s="3"/>
      <c r="I133" s="3"/>
      <c r="M133" s="3"/>
      <c r="N133" s="40"/>
      <c r="P133" s="3"/>
      <c r="Q133" s="3"/>
      <c r="R133" s="3"/>
      <c r="V133" s="3"/>
      <c r="W133" s="40"/>
      <c r="Y133" s="3"/>
      <c r="Z133" s="3"/>
      <c r="AA133" s="3"/>
      <c r="AE133" s="3"/>
      <c r="AF133" s="3"/>
      <c r="AH133" s="3"/>
      <c r="AI133" s="3"/>
      <c r="AJ133" s="3"/>
      <c r="AN133" s="3"/>
      <c r="AO133" s="3"/>
      <c r="AQ133" s="3"/>
      <c r="AR133" s="3"/>
      <c r="AW133" s="3"/>
      <c r="AX133" s="3"/>
      <c r="AZ133" s="3"/>
      <c r="BA133" s="3"/>
      <c r="BF133" s="3"/>
      <c r="BG133" s="3"/>
      <c r="BI133" s="3"/>
      <c r="BJ133" s="3"/>
      <c r="BO133" s="3"/>
      <c r="BP133" s="3"/>
      <c r="BR133" s="3"/>
      <c r="BS133" s="3"/>
      <c r="BX133" s="3"/>
      <c r="BY133" s="3"/>
      <c r="CA133" s="3"/>
      <c r="CB133" s="3"/>
      <c r="CC133" s="3"/>
      <c r="CG133" s="3"/>
      <c r="CH133" s="3"/>
      <c r="CJ133" s="3"/>
      <c r="CK133" s="3"/>
      <c r="CP133" s="3"/>
      <c r="CQ133" s="3"/>
      <c r="CS133" s="3"/>
      <c r="CT133" s="3"/>
      <c r="CY133" s="3"/>
      <c r="CZ133" s="3"/>
      <c r="DB133" s="3"/>
      <c r="DC133" s="3"/>
    </row>
    <row r="134" spans="4:107" x14ac:dyDescent="0.25">
      <c r="D134" s="3"/>
      <c r="E134" s="40"/>
      <c r="G134" s="3"/>
      <c r="H134" s="3"/>
      <c r="I134" s="3"/>
      <c r="M134" s="3"/>
      <c r="N134" s="40"/>
      <c r="P134" s="3"/>
      <c r="Q134" s="3"/>
      <c r="R134" s="3"/>
      <c r="V134" s="3"/>
      <c r="W134" s="40"/>
      <c r="Y134" s="3"/>
      <c r="Z134" s="3"/>
      <c r="AA134" s="3"/>
      <c r="AE134" s="3"/>
      <c r="AF134" s="3"/>
      <c r="AH134" s="3"/>
      <c r="AI134" s="3"/>
      <c r="AJ134" s="3"/>
      <c r="AN134" s="3"/>
      <c r="AO134" s="3"/>
      <c r="AQ134" s="3"/>
      <c r="AR134" s="3"/>
      <c r="AW134" s="3"/>
      <c r="AX134" s="3"/>
      <c r="AZ134" s="3"/>
      <c r="BA134" s="3"/>
      <c r="BF134" s="3"/>
      <c r="BG134" s="3"/>
      <c r="BI134" s="3"/>
      <c r="BJ134" s="3"/>
      <c r="BO134" s="3"/>
      <c r="BP134" s="3"/>
      <c r="BR134" s="3"/>
      <c r="BS134" s="3"/>
      <c r="BX134" s="3"/>
      <c r="BY134" s="3"/>
      <c r="CA134" s="3"/>
      <c r="CB134" s="3"/>
      <c r="CC134" s="3"/>
      <c r="CG134" s="3"/>
      <c r="CH134" s="3"/>
      <c r="CJ134" s="3"/>
      <c r="CK134" s="3"/>
      <c r="CP134" s="3"/>
      <c r="CQ134" s="3"/>
      <c r="CS134" s="3"/>
      <c r="CT134" s="3"/>
      <c r="CY134" s="3"/>
      <c r="CZ134" s="3"/>
      <c r="DB134" s="3"/>
      <c r="DC134" s="3"/>
    </row>
    <row r="135" spans="4:107" x14ac:dyDescent="0.25">
      <c r="D135" s="3"/>
      <c r="E135" s="40"/>
      <c r="G135" s="3"/>
      <c r="H135" s="3"/>
      <c r="I135" s="3"/>
      <c r="M135" s="3"/>
      <c r="N135" s="40"/>
      <c r="P135" s="3"/>
      <c r="Q135" s="3"/>
      <c r="R135" s="3"/>
      <c r="V135" s="3"/>
      <c r="W135" s="40"/>
      <c r="Y135" s="3"/>
      <c r="Z135" s="3"/>
      <c r="AA135" s="3"/>
      <c r="AE135" s="3"/>
      <c r="AF135" s="3"/>
      <c r="AH135" s="3"/>
      <c r="AI135" s="3"/>
      <c r="AJ135" s="3"/>
      <c r="AN135" s="3"/>
      <c r="AO135" s="3"/>
      <c r="AQ135" s="3"/>
      <c r="AR135" s="3"/>
      <c r="AW135" s="3"/>
      <c r="AX135" s="3"/>
      <c r="AZ135" s="3"/>
      <c r="BA135" s="3"/>
      <c r="BF135" s="3"/>
      <c r="BG135" s="3"/>
      <c r="BI135" s="3"/>
      <c r="BJ135" s="3"/>
      <c r="BO135" s="3"/>
      <c r="BP135" s="3"/>
      <c r="BR135" s="3"/>
      <c r="BS135" s="3"/>
      <c r="BX135" s="3"/>
      <c r="BY135" s="3"/>
      <c r="CA135" s="3"/>
      <c r="CB135" s="3"/>
      <c r="CC135" s="3"/>
      <c r="CG135" s="3"/>
      <c r="CH135" s="3"/>
      <c r="CJ135" s="3"/>
      <c r="CK135" s="3"/>
      <c r="CP135" s="3"/>
      <c r="CQ135" s="3"/>
      <c r="CS135" s="3"/>
      <c r="CT135" s="3"/>
      <c r="CY135" s="3"/>
      <c r="CZ135" s="3"/>
      <c r="DB135" s="3"/>
      <c r="DC135" s="3"/>
    </row>
  </sheetData>
  <mergeCells count="60">
    <mergeCell ref="DA7:DA8"/>
    <mergeCell ref="DB7:DB8"/>
    <mergeCell ref="DC7:DC8"/>
    <mergeCell ref="DD7:DD8"/>
    <mergeCell ref="CP7:CQ7"/>
    <mergeCell ref="CR7:CR8"/>
    <mergeCell ref="CS7:CS8"/>
    <mergeCell ref="CT7:CT8"/>
    <mergeCell ref="CU7:CU8"/>
    <mergeCell ref="CY7:CZ7"/>
    <mergeCell ref="CL7:CL8"/>
    <mergeCell ref="BS7:BS8"/>
    <mergeCell ref="BT7:BT8"/>
    <mergeCell ref="BX7:BY7"/>
    <mergeCell ref="BZ7:BZ8"/>
    <mergeCell ref="CA7:CA8"/>
    <mergeCell ref="CB7:CB8"/>
    <mergeCell ref="CC7:CC8"/>
    <mergeCell ref="CG7:CH7"/>
    <mergeCell ref="CI7:CI8"/>
    <mergeCell ref="CJ7:CJ8"/>
    <mergeCell ref="CK7:CK8"/>
    <mergeCell ref="BR7:BR8"/>
    <mergeCell ref="AY7:AY8"/>
    <mergeCell ref="AZ7:AZ8"/>
    <mergeCell ref="BA7:BA8"/>
    <mergeCell ref="BB7:BB8"/>
    <mergeCell ref="BF7:BG7"/>
    <mergeCell ref="BH7:BH8"/>
    <mergeCell ref="BI7:BI8"/>
    <mergeCell ref="BJ7:BJ8"/>
    <mergeCell ref="BK7:BK8"/>
    <mergeCell ref="BO7:BP7"/>
    <mergeCell ref="BQ7:BQ8"/>
    <mergeCell ref="AN7:AO7"/>
    <mergeCell ref="AP7:AP8"/>
    <mergeCell ref="AQ7:AQ8"/>
    <mergeCell ref="AR7:AR8"/>
    <mergeCell ref="AS7:AS8"/>
    <mergeCell ref="G7:G8"/>
    <mergeCell ref="F7:F8"/>
    <mergeCell ref="D7:E7"/>
    <mergeCell ref="H7:H8"/>
    <mergeCell ref="AW7:AX7"/>
    <mergeCell ref="R7:R8"/>
    <mergeCell ref="V7:W7"/>
    <mergeCell ref="AI7:AI8"/>
    <mergeCell ref="AJ7:AJ8"/>
    <mergeCell ref="Y7:Y8"/>
    <mergeCell ref="Z7:Z8"/>
    <mergeCell ref="AA7:AA8"/>
    <mergeCell ref="AE7:AF7"/>
    <mergeCell ref="AG7:AG8"/>
    <mergeCell ref="AH7:AH8"/>
    <mergeCell ref="X7:X8"/>
    <mergeCell ref="M7:N7"/>
    <mergeCell ref="O7:O8"/>
    <mergeCell ref="P7:P8"/>
    <mergeCell ref="Q7:Q8"/>
    <mergeCell ref="I7:I8"/>
  </mergeCells>
  <phoneticPr fontId="1" type="noConversion"/>
  <dataValidations count="3">
    <dataValidation type="whole" allowBlank="1" showInputMessage="1" showErrorMessage="1" sqref="V10 M10:M11 D10:D62">
      <formula1>1</formula1>
      <formula2>12</formula2>
    </dataValidation>
    <dataValidation type="whole" allowBlank="1" showInputMessage="1" showErrorMessage="1" sqref="W10 N10:N11 E10:E13 E15 E17:E21 E23 E25:E30 E32:E33 E35 E37:E41 E43:E45 E47:E48 E50:E53 E55 E57:E62">
      <formula1>1</formula1>
      <formula2>31</formula2>
    </dataValidation>
    <dataValidation type="decimal" operator="greaterThan" allowBlank="1" showInputMessage="1" showErrorMessage="1" sqref="Y10:Z10 P10:Q11 G10:H62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9" r:id="rId4" name="Button 69">
              <controlPr defaultSize="0" print="0" autoFill="0" autoPict="0" macro="[0]!日記簿增列1">
                <anchor moveWithCells="1" sizeWithCells="1">
                  <from>
                    <xdr:col>7</xdr:col>
                    <xdr:colOff>600075</xdr:colOff>
                    <xdr:row>4</xdr:row>
                    <xdr:rowOff>104775</xdr:rowOff>
                  </from>
                  <to>
                    <xdr:col>8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0" r:id="rId5" name="Button 70">
              <controlPr defaultSize="0" print="0" autoFill="0" autoPict="0" macro="[0]!日記簿增列2">
                <anchor moveWithCells="1" sizeWithCells="1">
                  <from>
                    <xdr:col>16</xdr:col>
                    <xdr:colOff>600075</xdr:colOff>
                    <xdr:row>4</xdr:row>
                    <xdr:rowOff>104775</xdr:rowOff>
                  </from>
                  <to>
                    <xdr:col>17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" r:id="rId6" name="Button 71">
              <controlPr defaultSize="0" print="0" autoFill="0" autoPict="0" macro="[0]!日記簿增列3">
                <anchor moveWithCells="1" sizeWithCells="1">
                  <from>
                    <xdr:col>25</xdr:col>
                    <xdr:colOff>600075</xdr:colOff>
                    <xdr:row>4</xdr:row>
                    <xdr:rowOff>104775</xdr:rowOff>
                  </from>
                  <to>
                    <xdr:col>26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2" r:id="rId7" name="Button 72">
              <controlPr defaultSize="0" print="0" autoFill="0" autoPict="0" macro="[0]!日記簿增列4">
                <anchor moveWithCells="1" sizeWithCells="1">
                  <from>
                    <xdr:col>34</xdr:col>
                    <xdr:colOff>600075</xdr:colOff>
                    <xdr:row>4</xdr:row>
                    <xdr:rowOff>104775</xdr:rowOff>
                  </from>
                  <to>
                    <xdr:col>35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3" r:id="rId8" name="Button 73">
              <controlPr defaultSize="0" print="0" autoFill="0" autoPict="0" macro="[0]!日記簿增列5">
                <anchor moveWithCells="1" sizeWithCells="1">
                  <from>
                    <xdr:col>43</xdr:col>
                    <xdr:colOff>600075</xdr:colOff>
                    <xdr:row>4</xdr:row>
                    <xdr:rowOff>104775</xdr:rowOff>
                  </from>
                  <to>
                    <xdr:col>44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4" r:id="rId9" name="Button 74">
              <controlPr defaultSize="0" print="0" autoFill="0" autoPict="0" macro="[0]!日記簿增列6">
                <anchor moveWithCells="1" sizeWithCells="1">
                  <from>
                    <xdr:col>52</xdr:col>
                    <xdr:colOff>600075</xdr:colOff>
                    <xdr:row>4</xdr:row>
                    <xdr:rowOff>104775</xdr:rowOff>
                  </from>
                  <to>
                    <xdr:col>53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5" r:id="rId10" name="Button 75">
              <controlPr defaultSize="0" print="0" autoFill="0" autoPict="0" macro="[0]!日記簿增列7">
                <anchor moveWithCells="1" sizeWithCells="1">
                  <from>
                    <xdr:col>61</xdr:col>
                    <xdr:colOff>600075</xdr:colOff>
                    <xdr:row>4</xdr:row>
                    <xdr:rowOff>104775</xdr:rowOff>
                  </from>
                  <to>
                    <xdr:col>62</xdr:col>
                    <xdr:colOff>400050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6" r:id="rId11" name="Button 76">
              <controlPr defaultSize="0" print="0" autoFill="0" autoPict="0" macro="[0]!日記簿增列8">
                <anchor moveWithCells="1" sizeWithCells="1">
                  <from>
                    <xdr:col>70</xdr:col>
                    <xdr:colOff>609600</xdr:colOff>
                    <xdr:row>4</xdr:row>
                    <xdr:rowOff>104775</xdr:rowOff>
                  </from>
                  <to>
                    <xdr:col>72</xdr:col>
                    <xdr:colOff>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7" r:id="rId12" name="Button 77">
              <controlPr defaultSize="0" print="0" autoFill="0" autoPict="0" macro="[0]!日記簿增列9">
                <anchor moveWithCells="1" sizeWithCells="1">
                  <from>
                    <xdr:col>79</xdr:col>
                    <xdr:colOff>600075</xdr:colOff>
                    <xdr:row>4</xdr:row>
                    <xdr:rowOff>95250</xdr:rowOff>
                  </from>
                  <to>
                    <xdr:col>80</xdr:col>
                    <xdr:colOff>400050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8" r:id="rId13" name="Button 78">
              <controlPr defaultSize="0" print="0" autoFill="0" autoPict="0" macro="[0]!日記簿增列10">
                <anchor moveWithCells="1" sizeWithCells="1">
                  <from>
                    <xdr:col>88</xdr:col>
                    <xdr:colOff>609600</xdr:colOff>
                    <xdr:row>4</xdr:row>
                    <xdr:rowOff>104775</xdr:rowOff>
                  </from>
                  <to>
                    <xdr:col>90</xdr:col>
                    <xdr:colOff>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9" r:id="rId14" name="Button 79">
              <controlPr defaultSize="0" print="0" autoFill="0" autoPict="0" macro="[0]!日記簿增列11">
                <anchor moveWithCells="1" sizeWithCells="1">
                  <from>
                    <xdr:col>97</xdr:col>
                    <xdr:colOff>600075</xdr:colOff>
                    <xdr:row>4</xdr:row>
                    <xdr:rowOff>95250</xdr:rowOff>
                  </from>
                  <to>
                    <xdr:col>98</xdr:col>
                    <xdr:colOff>400050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0" r:id="rId15" name="Button 80">
              <controlPr defaultSize="0" print="0" autoFill="0" autoPict="0" macro="[0]!日記簿增列12">
                <anchor moveWithCells="1" sizeWithCells="1">
                  <from>
                    <xdr:col>106</xdr:col>
                    <xdr:colOff>600075</xdr:colOff>
                    <xdr:row>4</xdr:row>
                    <xdr:rowOff>95250</xdr:rowOff>
                  </from>
                  <to>
                    <xdr:col>107</xdr:col>
                    <xdr:colOff>400050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會計科目表!$F$6:$F$1048576</xm:f>
          </x14:formula1>
          <xm:sqref>X10 F14:F62</xm:sqref>
        </x14:dataValidation>
        <x14:dataValidation type="list" allowBlank="1" showInputMessage="1" showErrorMessage="1">
          <x14:formula1>
            <xm:f>會計科目表!$F$6:$F$1048576</xm:f>
          </x14:formula1>
          <xm:sqref>O10:O11</xm:sqref>
        </x14:dataValidation>
        <x14:dataValidation type="list" allowBlank="1" showInputMessage="1" showErrorMessage="1">
          <x14:formula1>
            <xm:f>會計科目表!$F$6:$F$1048576</xm:f>
          </x14:formula1>
          <xm:sqref>F10:F13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C1:Q64"/>
  <sheetViews>
    <sheetView workbookViewId="0">
      <pane ySplit="7" topLeftCell="A8" activePane="bottomLeft" state="frozen"/>
      <selection activeCell="P21" sqref="P21"/>
      <selection pane="bottomLeft" activeCell="D5" sqref="D5"/>
    </sheetView>
  </sheetViews>
  <sheetFormatPr defaultColWidth="8.875" defaultRowHeight="15.75" x14ac:dyDescent="0.25"/>
  <cols>
    <col min="1" max="1" width="3.125" style="3" customWidth="1"/>
    <col min="2" max="2" width="0" style="3" hidden="1" customWidth="1"/>
    <col min="3" max="3" width="10.5" style="3" bestFit="1" customWidth="1"/>
    <col min="4" max="4" width="20.25" style="3" bestFit="1" customWidth="1"/>
    <col min="5" max="5" width="7.375" style="3" bestFit="1" customWidth="1"/>
    <col min="6" max="6" width="10.875" style="3" bestFit="1" customWidth="1"/>
    <col min="7" max="8" width="8.875" style="3" customWidth="1"/>
    <col min="9" max="9" width="8.875" style="3" hidden="1" customWidth="1"/>
    <col min="10" max="10" width="0" style="3" hidden="1" customWidth="1"/>
    <col min="11" max="12" width="3.875" style="2" bestFit="1" customWidth="1"/>
    <col min="13" max="13" width="10.875" style="37" bestFit="1" customWidth="1"/>
    <col min="14" max="15" width="11.25" style="37" bestFit="1" customWidth="1"/>
    <col min="16" max="16384" width="8.875" style="3"/>
  </cols>
  <sheetData>
    <row r="1" spans="3:16" ht="16.5" thickBot="1" x14ac:dyDescent="0.3">
      <c r="K1" s="49"/>
      <c r="L1" s="49"/>
      <c r="M1" s="4"/>
      <c r="N1" s="4"/>
      <c r="O1" s="4"/>
    </row>
    <row r="2" spans="3:16" ht="16.5" hidden="1" thickBot="1" x14ac:dyDescent="0.3">
      <c r="K2" s="49"/>
      <c r="L2" s="49"/>
      <c r="M2" s="4"/>
      <c r="N2" s="4"/>
      <c r="O2" s="4"/>
    </row>
    <row r="3" spans="3:16" ht="16.5" thickTop="1" x14ac:dyDescent="0.25">
      <c r="C3" s="112" t="s">
        <v>15</v>
      </c>
      <c r="D3" s="113"/>
      <c r="E3" s="113"/>
      <c r="F3" s="114"/>
      <c r="K3" s="49"/>
      <c r="L3" s="49"/>
      <c r="M3" s="4"/>
      <c r="N3" s="4"/>
      <c r="O3" s="4"/>
    </row>
    <row r="4" spans="3:16" ht="16.5" thickBot="1" x14ac:dyDescent="0.3">
      <c r="C4" s="15" t="s">
        <v>18</v>
      </c>
      <c r="D4" s="10" t="s">
        <v>16</v>
      </c>
      <c r="E4" s="109" t="s">
        <v>17</v>
      </c>
      <c r="F4" s="110"/>
      <c r="K4" s="49"/>
      <c r="L4" s="49"/>
      <c r="M4" s="4"/>
      <c r="N4" s="4"/>
      <c r="O4" s="4"/>
    </row>
    <row r="5" spans="3:16" ht="17.25" thickTop="1" thickBot="1" x14ac:dyDescent="0.3">
      <c r="C5" s="11"/>
      <c r="D5" s="1" t="s">
        <v>34</v>
      </c>
      <c r="E5" s="50" t="s">
        <v>192</v>
      </c>
      <c r="F5" s="51">
        <v>1846</v>
      </c>
      <c r="K5" s="115" t="s">
        <v>19</v>
      </c>
      <c r="L5" s="117"/>
      <c r="M5" s="118" t="s">
        <v>22</v>
      </c>
      <c r="N5" s="118" t="s">
        <v>23</v>
      </c>
      <c r="O5" s="127" t="s">
        <v>24</v>
      </c>
    </row>
    <row r="6" spans="3:16" ht="16.5" thickTop="1" x14ac:dyDescent="0.25">
      <c r="K6" s="46" t="s">
        <v>20</v>
      </c>
      <c r="L6" s="47" t="s">
        <v>21</v>
      </c>
      <c r="M6" s="119"/>
      <c r="N6" s="119"/>
      <c r="O6" s="128"/>
    </row>
    <row r="7" spans="3:16" ht="16.5" hidden="1" x14ac:dyDescent="0.25">
      <c r="K7"/>
      <c r="L7"/>
      <c r="M7"/>
      <c r="N7"/>
      <c r="O7"/>
    </row>
    <row r="8" spans="3:16" ht="16.5" x14ac:dyDescent="0.25">
      <c r="K8" s="99" t="s">
        <v>118</v>
      </c>
      <c r="L8" s="100" t="s">
        <v>118</v>
      </c>
      <c r="M8" s="101">
        <v>1946</v>
      </c>
      <c r="N8" s="101"/>
      <c r="O8" s="102">
        <v>1946</v>
      </c>
    </row>
    <row r="9" spans="3:16" ht="16.5" x14ac:dyDescent="0.25">
      <c r="K9" s="99">
        <v>1</v>
      </c>
      <c r="L9" s="100">
        <v>2</v>
      </c>
      <c r="M9" s="101"/>
      <c r="N9" s="101">
        <v>100</v>
      </c>
      <c r="O9" s="102">
        <v>1846</v>
      </c>
    </row>
    <row r="10" spans="3:16" ht="16.5" x14ac:dyDescent="0.25">
      <c r="K10" s="99"/>
      <c r="L10" s="100">
        <v>3</v>
      </c>
      <c r="M10" s="101"/>
      <c r="N10" s="101">
        <v>140</v>
      </c>
      <c r="O10" s="102">
        <v>1706</v>
      </c>
    </row>
    <row r="11" spans="3:16" ht="16.5" x14ac:dyDescent="0.25">
      <c r="K11" s="99"/>
      <c r="L11" s="100">
        <v>4</v>
      </c>
      <c r="M11" s="101"/>
      <c r="N11" s="101">
        <v>1309</v>
      </c>
      <c r="O11" s="102">
        <v>397</v>
      </c>
    </row>
    <row r="12" spans="3:16" ht="16.5" x14ac:dyDescent="0.25">
      <c r="K12" s="99"/>
      <c r="L12" s="100">
        <v>7</v>
      </c>
      <c r="M12" s="101">
        <v>512</v>
      </c>
      <c r="N12" s="101"/>
      <c r="O12" s="102">
        <v>909</v>
      </c>
      <c r="P12" s="54"/>
    </row>
    <row r="13" spans="3:16" ht="16.5" x14ac:dyDescent="0.25">
      <c r="K13" s="99"/>
      <c r="L13" s="100">
        <v>8</v>
      </c>
      <c r="M13" s="101"/>
      <c r="N13" s="101">
        <v>89</v>
      </c>
      <c r="O13" s="102">
        <v>820</v>
      </c>
    </row>
    <row r="14" spans="3:16" ht="17.25" thickBot="1" x14ac:dyDescent="0.3">
      <c r="K14" s="94"/>
      <c r="L14" s="95">
        <v>9</v>
      </c>
      <c r="M14" s="96"/>
      <c r="N14" s="96">
        <v>104</v>
      </c>
      <c r="O14" s="97">
        <v>716</v>
      </c>
    </row>
    <row r="15" spans="3:16" ht="17.25" thickTop="1" x14ac:dyDescent="0.25">
      <c r="K15"/>
      <c r="L15"/>
      <c r="M15"/>
      <c r="N15"/>
      <c r="O15"/>
    </row>
    <row r="16" spans="3:16" ht="16.5" x14ac:dyDescent="0.25">
      <c r="K16"/>
      <c r="L16"/>
      <c r="M16"/>
      <c r="N16"/>
      <c r="O16"/>
    </row>
    <row r="17" spans="11:17" ht="16.5" x14ac:dyDescent="0.25">
      <c r="K17"/>
      <c r="L17"/>
      <c r="M17"/>
      <c r="N17"/>
      <c r="O17"/>
    </row>
    <row r="18" spans="11:17" ht="16.5" x14ac:dyDescent="0.25">
      <c r="K18"/>
      <c r="L18"/>
      <c r="M18"/>
      <c r="N18"/>
      <c r="O18"/>
    </row>
    <row r="19" spans="11:17" ht="16.5" x14ac:dyDescent="0.25">
      <c r="K19"/>
      <c r="L19"/>
      <c r="M19"/>
      <c r="N19"/>
      <c r="O19"/>
    </row>
    <row r="20" spans="11:17" ht="16.5" x14ac:dyDescent="0.25">
      <c r="K20"/>
      <c r="L20"/>
      <c r="M20"/>
      <c r="N20"/>
      <c r="O20"/>
      <c r="Q20" s="14"/>
    </row>
    <row r="21" spans="11:17" x14ac:dyDescent="0.25">
      <c r="K21" s="52"/>
      <c r="L21" s="52"/>
      <c r="M21" s="53"/>
      <c r="N21" s="53"/>
      <c r="O21" s="53"/>
    </row>
    <row r="22" spans="11:17" x14ac:dyDescent="0.25">
      <c r="K22" s="52"/>
      <c r="L22" s="52"/>
      <c r="M22" s="53"/>
      <c r="N22" s="53"/>
      <c r="O22" s="53"/>
    </row>
    <row r="23" spans="11:17" x14ac:dyDescent="0.25">
      <c r="K23" s="52"/>
      <c r="L23" s="52"/>
      <c r="M23" s="53"/>
      <c r="N23" s="53"/>
      <c r="O23" s="53"/>
    </row>
    <row r="24" spans="11:17" x14ac:dyDescent="0.25">
      <c r="K24" s="52"/>
      <c r="L24" s="52"/>
      <c r="M24" s="53"/>
      <c r="N24" s="53"/>
      <c r="O24" s="53"/>
    </row>
    <row r="25" spans="11:17" x14ac:dyDescent="0.25">
      <c r="K25" s="52"/>
      <c r="L25" s="52"/>
      <c r="M25" s="53"/>
      <c r="N25" s="53"/>
      <c r="O25" s="53"/>
    </row>
    <row r="26" spans="11:17" x14ac:dyDescent="0.25">
      <c r="K26" s="52"/>
      <c r="L26" s="52"/>
      <c r="M26" s="53"/>
      <c r="N26" s="53"/>
      <c r="O26" s="53"/>
    </row>
    <row r="27" spans="11:17" x14ac:dyDescent="0.25">
      <c r="K27" s="52"/>
      <c r="L27" s="52"/>
      <c r="M27" s="53"/>
      <c r="N27" s="53"/>
      <c r="O27" s="53"/>
    </row>
    <row r="28" spans="11:17" x14ac:dyDescent="0.25">
      <c r="K28" s="52"/>
      <c r="L28" s="52"/>
      <c r="M28" s="53"/>
      <c r="N28" s="53"/>
      <c r="O28" s="53"/>
    </row>
    <row r="29" spans="11:17" x14ac:dyDescent="0.25">
      <c r="K29" s="52"/>
      <c r="L29" s="52"/>
      <c r="M29" s="53"/>
      <c r="N29" s="53"/>
      <c r="O29" s="53"/>
    </row>
    <row r="30" spans="11:17" x14ac:dyDescent="0.25">
      <c r="K30" s="52"/>
      <c r="L30" s="52"/>
      <c r="M30" s="53"/>
      <c r="N30" s="53"/>
      <c r="O30" s="53"/>
    </row>
    <row r="31" spans="11:17" x14ac:dyDescent="0.25">
      <c r="K31" s="52"/>
      <c r="L31" s="52"/>
      <c r="M31" s="53"/>
      <c r="N31" s="53"/>
      <c r="O31" s="53"/>
    </row>
    <row r="32" spans="11:17" x14ac:dyDescent="0.25">
      <c r="K32" s="52"/>
      <c r="L32" s="52"/>
      <c r="M32" s="53"/>
      <c r="N32" s="53"/>
      <c r="O32" s="53"/>
    </row>
    <row r="33" spans="11:15" x14ac:dyDescent="0.25">
      <c r="K33" s="52"/>
      <c r="L33" s="52"/>
      <c r="M33" s="53"/>
      <c r="N33" s="53"/>
      <c r="O33" s="53"/>
    </row>
    <row r="34" spans="11:15" x14ac:dyDescent="0.25">
      <c r="K34" s="52"/>
      <c r="L34" s="52"/>
      <c r="M34" s="53"/>
      <c r="N34" s="53"/>
      <c r="O34" s="53"/>
    </row>
    <row r="35" spans="11:15" x14ac:dyDescent="0.25">
      <c r="K35" s="52"/>
      <c r="L35" s="52"/>
      <c r="M35" s="53"/>
      <c r="N35" s="53"/>
      <c r="O35" s="53"/>
    </row>
    <row r="36" spans="11:15" x14ac:dyDescent="0.25">
      <c r="K36" s="52"/>
      <c r="L36" s="52"/>
      <c r="M36" s="53"/>
      <c r="N36" s="53"/>
      <c r="O36" s="53"/>
    </row>
    <row r="37" spans="11:15" x14ac:dyDescent="0.25">
      <c r="K37" s="52"/>
      <c r="L37" s="52"/>
      <c r="M37" s="53"/>
      <c r="N37" s="53"/>
      <c r="O37" s="53"/>
    </row>
    <row r="38" spans="11:15" x14ac:dyDescent="0.25">
      <c r="K38" s="52"/>
      <c r="L38" s="52"/>
      <c r="M38" s="53"/>
      <c r="N38" s="53"/>
      <c r="O38" s="53"/>
    </row>
    <row r="39" spans="11:15" x14ac:dyDescent="0.25">
      <c r="K39" s="52"/>
      <c r="L39" s="52"/>
      <c r="M39" s="53"/>
      <c r="N39" s="53"/>
      <c r="O39" s="53"/>
    </row>
    <row r="40" spans="11:15" x14ac:dyDescent="0.25">
      <c r="K40" s="52"/>
      <c r="L40" s="52"/>
      <c r="M40" s="53"/>
      <c r="N40" s="53"/>
      <c r="O40" s="53"/>
    </row>
    <row r="41" spans="11:15" x14ac:dyDescent="0.25">
      <c r="K41" s="52"/>
      <c r="L41" s="52"/>
      <c r="M41" s="53"/>
      <c r="N41" s="53"/>
      <c r="O41" s="53"/>
    </row>
    <row r="42" spans="11:15" x14ac:dyDescent="0.25">
      <c r="K42" s="52"/>
      <c r="L42" s="52"/>
      <c r="M42" s="53"/>
      <c r="N42" s="53"/>
      <c r="O42" s="53"/>
    </row>
    <row r="43" spans="11:15" x14ac:dyDescent="0.25">
      <c r="K43" s="52"/>
      <c r="L43" s="52"/>
      <c r="M43" s="53"/>
      <c r="N43" s="53"/>
      <c r="O43" s="53"/>
    </row>
    <row r="44" spans="11:15" x14ac:dyDescent="0.25">
      <c r="K44" s="52"/>
      <c r="L44" s="52"/>
      <c r="M44" s="53"/>
      <c r="N44" s="53"/>
      <c r="O44" s="53"/>
    </row>
    <row r="45" spans="11:15" x14ac:dyDescent="0.25">
      <c r="K45" s="52"/>
      <c r="L45" s="52"/>
      <c r="M45" s="53"/>
      <c r="N45" s="53"/>
      <c r="O45" s="53"/>
    </row>
    <row r="46" spans="11:15" x14ac:dyDescent="0.25">
      <c r="K46" s="52"/>
      <c r="L46" s="52"/>
      <c r="M46" s="53"/>
      <c r="N46" s="53"/>
      <c r="O46" s="53"/>
    </row>
    <row r="47" spans="11:15" x14ac:dyDescent="0.25">
      <c r="K47" s="52"/>
      <c r="L47" s="52"/>
      <c r="M47" s="53"/>
      <c r="N47" s="53"/>
      <c r="O47" s="53"/>
    </row>
    <row r="48" spans="11:15" x14ac:dyDescent="0.25">
      <c r="K48" s="52"/>
      <c r="L48" s="52"/>
      <c r="M48" s="53"/>
      <c r="N48" s="53"/>
      <c r="O48" s="53"/>
    </row>
    <row r="49" spans="11:15" x14ac:dyDescent="0.25">
      <c r="K49" s="52"/>
      <c r="L49" s="52"/>
      <c r="M49" s="53"/>
      <c r="N49" s="53"/>
      <c r="O49" s="53"/>
    </row>
    <row r="50" spans="11:15" x14ac:dyDescent="0.25">
      <c r="K50" s="52"/>
      <c r="L50" s="52"/>
      <c r="M50" s="53"/>
      <c r="N50" s="53"/>
      <c r="O50" s="53"/>
    </row>
    <row r="51" spans="11:15" x14ac:dyDescent="0.25">
      <c r="K51" s="52"/>
      <c r="L51" s="52"/>
      <c r="M51" s="53"/>
      <c r="N51" s="53"/>
      <c r="O51" s="53"/>
    </row>
    <row r="52" spans="11:15" x14ac:dyDescent="0.25">
      <c r="K52" s="52"/>
      <c r="L52" s="52"/>
      <c r="M52" s="53"/>
      <c r="N52" s="53"/>
      <c r="O52" s="53"/>
    </row>
    <row r="53" spans="11:15" x14ac:dyDescent="0.25">
      <c r="K53" s="52"/>
      <c r="L53" s="52"/>
      <c r="M53" s="53"/>
      <c r="N53" s="53"/>
      <c r="O53" s="53"/>
    </row>
    <row r="54" spans="11:15" x14ac:dyDescent="0.25">
      <c r="K54" s="52"/>
      <c r="L54" s="52"/>
      <c r="M54" s="53"/>
      <c r="N54" s="53"/>
      <c r="O54" s="53"/>
    </row>
    <row r="55" spans="11:15" x14ac:dyDescent="0.25">
      <c r="K55" s="52"/>
      <c r="L55" s="52"/>
      <c r="M55" s="53"/>
      <c r="N55" s="53"/>
      <c r="O55" s="53"/>
    </row>
    <row r="56" spans="11:15" x14ac:dyDescent="0.25">
      <c r="K56" s="52"/>
      <c r="L56" s="52"/>
      <c r="M56" s="53"/>
      <c r="N56" s="53"/>
      <c r="O56" s="53"/>
    </row>
    <row r="57" spans="11:15" x14ac:dyDescent="0.25">
      <c r="K57" s="52"/>
      <c r="L57" s="52"/>
      <c r="M57" s="53"/>
      <c r="N57" s="53"/>
      <c r="O57" s="53"/>
    </row>
    <row r="58" spans="11:15" x14ac:dyDescent="0.25">
      <c r="K58" s="52"/>
      <c r="L58" s="52"/>
      <c r="M58" s="53"/>
      <c r="N58" s="53"/>
      <c r="O58" s="53"/>
    </row>
    <row r="59" spans="11:15" x14ac:dyDescent="0.25">
      <c r="K59" s="52"/>
      <c r="L59" s="52"/>
      <c r="M59" s="53"/>
      <c r="N59" s="53"/>
      <c r="O59" s="53"/>
    </row>
    <row r="60" spans="11:15" x14ac:dyDescent="0.25">
      <c r="K60" s="52"/>
      <c r="L60" s="52"/>
      <c r="M60" s="53"/>
      <c r="N60" s="53"/>
      <c r="O60" s="53"/>
    </row>
    <row r="61" spans="11:15" x14ac:dyDescent="0.25">
      <c r="K61" s="52"/>
      <c r="L61" s="52"/>
      <c r="M61" s="53"/>
      <c r="N61" s="53"/>
      <c r="O61" s="53"/>
    </row>
    <row r="62" spans="11:15" x14ac:dyDescent="0.25">
      <c r="K62" s="52"/>
      <c r="L62" s="52"/>
      <c r="M62" s="53"/>
      <c r="N62" s="53"/>
      <c r="O62" s="53"/>
    </row>
    <row r="63" spans="11:15" x14ac:dyDescent="0.25">
      <c r="K63" s="52"/>
      <c r="L63" s="52"/>
      <c r="M63" s="53"/>
      <c r="N63" s="53"/>
      <c r="O63" s="53"/>
    </row>
    <row r="64" spans="11:15" x14ac:dyDescent="0.25">
      <c r="K64" s="52"/>
      <c r="L64" s="52"/>
      <c r="M64" s="53"/>
      <c r="N64" s="53"/>
      <c r="O64" s="53"/>
    </row>
  </sheetData>
  <mergeCells count="6">
    <mergeCell ref="C3:F3"/>
    <mergeCell ref="O5:O6"/>
    <mergeCell ref="N5:N6"/>
    <mergeCell ref="M5:M6"/>
    <mergeCell ref="K5:L5"/>
    <mergeCell ref="E4:F4"/>
  </mergeCells>
  <phoneticPr fontId="1" type="noConversion"/>
  <dataValidations count="1">
    <dataValidation type="whole" allowBlank="1" showInputMessage="1" showErrorMessage="1" sqref="C5">
      <formula1>0</formula1>
      <formula2>12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查看分類帳">
                <anchor moveWithCells="1" sizeWithCells="1">
                  <from>
                    <xdr:col>6</xdr:col>
                    <xdr:colOff>123825</xdr:colOff>
                    <xdr:row>3</xdr:row>
                    <xdr:rowOff>9525</xdr:rowOff>
                  </from>
                  <to>
                    <xdr:col>7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會計科目表!$E$6:$E$1048576</xm:f>
          </x14:formula1>
          <xm:sqref>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E1:R48"/>
  <sheetViews>
    <sheetView zoomScale="90" zoomScaleNormal="90" workbookViewId="0">
      <pane ySplit="7" topLeftCell="A8" activePane="bottomLeft" state="frozen"/>
      <selection activeCell="P21" sqref="P21"/>
      <selection pane="bottomLeft" activeCell="P26" sqref="P26"/>
    </sheetView>
  </sheetViews>
  <sheetFormatPr defaultColWidth="8.875" defaultRowHeight="15.75" x14ac:dyDescent="0.25"/>
  <cols>
    <col min="1" max="1" width="3.375" style="3" customWidth="1"/>
    <col min="2" max="3" width="0" style="3" hidden="1" customWidth="1"/>
    <col min="4" max="4" width="3.375" style="3" customWidth="1"/>
    <col min="5" max="5" width="10.5" style="2" bestFit="1" customWidth="1"/>
    <col min="6" max="6" width="20.25" style="55" bestFit="1" customWidth="1"/>
    <col min="7" max="9" width="11.125" style="37" customWidth="1"/>
    <col min="10" max="10" width="12.25" style="37" customWidth="1"/>
    <col min="11" max="14" width="11.125" style="37" customWidth="1"/>
    <col min="15" max="15" width="8.875" style="3"/>
    <col min="16" max="16" width="10.875" style="3" bestFit="1" customWidth="1"/>
    <col min="17" max="18" width="9.5" style="3" bestFit="1" customWidth="1"/>
    <col min="19" max="16384" width="8.875" style="3"/>
  </cols>
  <sheetData>
    <row r="1" spans="5:16" x14ac:dyDescent="0.25">
      <c r="F1" s="2"/>
      <c r="G1" s="4"/>
      <c r="H1" s="4"/>
      <c r="I1" s="4"/>
      <c r="J1" s="4"/>
      <c r="K1" s="4"/>
      <c r="L1" s="4"/>
      <c r="M1" s="4"/>
      <c r="N1" s="4"/>
    </row>
    <row r="2" spans="5:16" hidden="1" x14ac:dyDescent="0.25">
      <c r="F2" s="2"/>
      <c r="G2" s="4"/>
      <c r="H2" s="4"/>
      <c r="I2" s="4"/>
      <c r="J2" s="4"/>
      <c r="K2" s="4"/>
      <c r="L2" s="4"/>
      <c r="M2" s="4"/>
      <c r="N2" s="4"/>
    </row>
    <row r="3" spans="5:16" hidden="1" x14ac:dyDescent="0.25">
      <c r="F3" s="2"/>
      <c r="G3" s="4"/>
      <c r="H3" s="4"/>
      <c r="I3" s="4"/>
      <c r="J3" s="4"/>
      <c r="K3" s="4"/>
      <c r="L3" s="4"/>
      <c r="M3" s="4"/>
      <c r="N3" s="4"/>
    </row>
    <row r="4" spans="5:16" ht="16.5" thickBot="1" x14ac:dyDescent="0.3">
      <c r="F4" s="2"/>
      <c r="G4" s="4"/>
      <c r="H4" s="4"/>
      <c r="I4" s="4"/>
      <c r="J4" s="4"/>
      <c r="K4" s="4"/>
      <c r="L4" s="4"/>
      <c r="M4" s="4"/>
      <c r="N4" s="4"/>
    </row>
    <row r="5" spans="5:16" ht="16.5" thickTop="1" x14ac:dyDescent="0.25">
      <c r="E5" s="107" t="s">
        <v>25</v>
      </c>
      <c r="F5" s="124" t="s">
        <v>26</v>
      </c>
      <c r="G5" s="105" t="s">
        <v>31</v>
      </c>
      <c r="H5" s="105"/>
      <c r="I5" s="105" t="s">
        <v>32</v>
      </c>
      <c r="J5" s="105"/>
      <c r="K5" s="105" t="s">
        <v>27</v>
      </c>
      <c r="L5" s="105"/>
      <c r="M5" s="105" t="s">
        <v>28</v>
      </c>
      <c r="N5" s="106"/>
    </row>
    <row r="6" spans="5:16" x14ac:dyDescent="0.25">
      <c r="E6" s="111"/>
      <c r="F6" s="125"/>
      <c r="G6" s="57" t="s">
        <v>29</v>
      </c>
      <c r="H6" s="57" t="s">
        <v>30</v>
      </c>
      <c r="I6" s="57" t="s">
        <v>29</v>
      </c>
      <c r="J6" s="57" t="s">
        <v>30</v>
      </c>
      <c r="K6" s="57" t="s">
        <v>29</v>
      </c>
      <c r="L6" s="57" t="s">
        <v>30</v>
      </c>
      <c r="M6" s="57" t="s">
        <v>29</v>
      </c>
      <c r="N6" s="58" t="s">
        <v>30</v>
      </c>
    </row>
    <row r="7" spans="5:16" hidden="1" x14ac:dyDescent="0.25"/>
    <row r="8" spans="5:16" x14ac:dyDescent="0.25">
      <c r="E8" s="71">
        <v>101</v>
      </c>
      <c r="F8" s="72" t="s">
        <v>34</v>
      </c>
      <c r="G8" s="73">
        <v>2458</v>
      </c>
      <c r="H8" s="73">
        <v>1742</v>
      </c>
      <c r="I8" s="73">
        <v>716</v>
      </c>
      <c r="J8" s="73"/>
      <c r="K8" s="73"/>
      <c r="L8" s="73"/>
      <c r="M8" s="73">
        <v>716</v>
      </c>
      <c r="N8" s="74"/>
    </row>
    <row r="9" spans="5:16" ht="16.149999999999999" customHeight="1" x14ac:dyDescent="0.25">
      <c r="E9" s="75">
        <v>102</v>
      </c>
      <c r="F9" s="76" t="s">
        <v>35</v>
      </c>
      <c r="G9" s="77">
        <v>6074</v>
      </c>
      <c r="H9" s="77"/>
      <c r="I9" s="77">
        <v>6074</v>
      </c>
      <c r="J9" s="77"/>
      <c r="K9" s="77"/>
      <c r="L9" s="77"/>
      <c r="M9" s="77">
        <v>6074</v>
      </c>
      <c r="N9" s="78"/>
    </row>
    <row r="10" spans="5:16" x14ac:dyDescent="0.25">
      <c r="E10" s="75">
        <v>103</v>
      </c>
      <c r="F10" s="76" t="s">
        <v>150</v>
      </c>
      <c r="G10" s="77">
        <v>59404</v>
      </c>
      <c r="H10" s="77"/>
      <c r="I10" s="77">
        <v>59404</v>
      </c>
      <c r="J10" s="77"/>
      <c r="K10" s="77"/>
      <c r="L10" s="77"/>
      <c r="M10" s="77">
        <v>59404</v>
      </c>
      <c r="N10" s="78"/>
    </row>
    <row r="11" spans="5:16" ht="16.149999999999999" customHeight="1" x14ac:dyDescent="0.25">
      <c r="E11" s="75">
        <v>107</v>
      </c>
      <c r="F11" s="76" t="s">
        <v>152</v>
      </c>
      <c r="G11" s="77">
        <v>17721</v>
      </c>
      <c r="H11" s="77"/>
      <c r="I11" s="77">
        <v>17721</v>
      </c>
      <c r="J11" s="77"/>
      <c r="K11" s="77"/>
      <c r="L11" s="77"/>
      <c r="M11" s="77">
        <v>17721</v>
      </c>
      <c r="N11" s="78"/>
    </row>
    <row r="12" spans="5:16" x14ac:dyDescent="0.25">
      <c r="E12" s="75">
        <v>110</v>
      </c>
      <c r="F12" s="76" t="s">
        <v>69</v>
      </c>
      <c r="G12" s="77">
        <v>52</v>
      </c>
      <c r="H12" s="77">
        <v>16</v>
      </c>
      <c r="I12" s="77">
        <v>36</v>
      </c>
      <c r="J12" s="77"/>
      <c r="K12" s="77"/>
      <c r="L12" s="77"/>
      <c r="M12" s="77">
        <v>36</v>
      </c>
      <c r="N12" s="78"/>
      <c r="P12" s="14"/>
    </row>
    <row r="13" spans="5:16" ht="16.149999999999999" customHeight="1" x14ac:dyDescent="0.25">
      <c r="E13" s="75">
        <v>111</v>
      </c>
      <c r="F13" s="76" t="s">
        <v>119</v>
      </c>
      <c r="G13" s="77">
        <v>1972</v>
      </c>
      <c r="H13" s="77">
        <v>580</v>
      </c>
      <c r="I13" s="77">
        <v>1392</v>
      </c>
      <c r="J13" s="77"/>
      <c r="K13" s="77"/>
      <c r="L13" s="77"/>
      <c r="M13" s="77">
        <v>1392</v>
      </c>
      <c r="N13" s="78"/>
    </row>
    <row r="14" spans="5:16" x14ac:dyDescent="0.25">
      <c r="E14" s="75">
        <v>112</v>
      </c>
      <c r="F14" s="76" t="s">
        <v>73</v>
      </c>
      <c r="G14" s="77">
        <v>720</v>
      </c>
      <c r="H14" s="77"/>
      <c r="I14" s="77">
        <v>720</v>
      </c>
      <c r="J14" s="77"/>
      <c r="K14" s="77"/>
      <c r="L14" s="77"/>
      <c r="M14" s="77">
        <v>720</v>
      </c>
      <c r="N14" s="78"/>
      <c r="P14" s="14"/>
    </row>
    <row r="15" spans="5:16" x14ac:dyDescent="0.25">
      <c r="E15" s="75">
        <v>125</v>
      </c>
      <c r="F15" s="76" t="s">
        <v>76</v>
      </c>
      <c r="G15" s="77">
        <v>776</v>
      </c>
      <c r="H15" s="77"/>
      <c r="I15" s="77">
        <v>776</v>
      </c>
      <c r="J15" s="77"/>
      <c r="K15" s="77"/>
      <c r="L15" s="77"/>
      <c r="M15" s="77">
        <v>776</v>
      </c>
      <c r="N15" s="78"/>
      <c r="P15" s="14"/>
    </row>
    <row r="16" spans="5:16" x14ac:dyDescent="0.25">
      <c r="E16" s="75">
        <v>301</v>
      </c>
      <c r="F16" s="76" t="s">
        <v>60</v>
      </c>
      <c r="G16" s="77">
        <v>1742</v>
      </c>
      <c r="H16" s="77">
        <v>8532</v>
      </c>
      <c r="I16" s="77"/>
      <c r="J16" s="77">
        <v>6790</v>
      </c>
      <c r="K16" s="77"/>
      <c r="L16" s="77"/>
      <c r="M16" s="77"/>
      <c r="N16" s="78">
        <v>6790</v>
      </c>
      <c r="P16" s="14"/>
    </row>
    <row r="17" spans="5:18" x14ac:dyDescent="0.25">
      <c r="E17" s="75">
        <v>304</v>
      </c>
      <c r="F17" s="76" t="s">
        <v>56</v>
      </c>
      <c r="G17" s="77">
        <v>596</v>
      </c>
      <c r="H17" s="77">
        <v>2024</v>
      </c>
      <c r="I17" s="77"/>
      <c r="J17" s="77">
        <v>1428</v>
      </c>
      <c r="K17" s="77"/>
      <c r="L17" s="77"/>
      <c r="M17" s="77"/>
      <c r="N17" s="78">
        <v>1428</v>
      </c>
      <c r="P17" s="14"/>
    </row>
    <row r="18" spans="5:18" x14ac:dyDescent="0.25">
      <c r="E18" s="75">
        <v>313</v>
      </c>
      <c r="F18" s="76" t="s">
        <v>78</v>
      </c>
      <c r="G18" s="77"/>
      <c r="H18" s="77">
        <v>1496</v>
      </c>
      <c r="I18" s="77"/>
      <c r="J18" s="77">
        <v>1496</v>
      </c>
      <c r="K18" s="77"/>
      <c r="L18" s="77"/>
      <c r="M18" s="77"/>
      <c r="N18" s="78">
        <v>1496</v>
      </c>
      <c r="Q18" s="14"/>
    </row>
    <row r="19" spans="5:18" ht="16.149999999999999" customHeight="1" x14ac:dyDescent="0.25">
      <c r="E19" s="75">
        <v>316</v>
      </c>
      <c r="F19" s="76" t="s">
        <v>54</v>
      </c>
      <c r="G19" s="77"/>
      <c r="H19" s="77">
        <v>77125</v>
      </c>
      <c r="I19" s="77"/>
      <c r="J19" s="77">
        <v>77125</v>
      </c>
      <c r="K19" s="77"/>
      <c r="L19" s="77"/>
      <c r="M19" s="77"/>
      <c r="N19" s="78">
        <v>77125</v>
      </c>
    </row>
    <row r="20" spans="5:18" x14ac:dyDescent="0.25">
      <c r="E20" s="75">
        <v>330</v>
      </c>
      <c r="F20" s="76" t="s">
        <v>58</v>
      </c>
      <c r="G20" s="77">
        <v>521</v>
      </c>
      <c r="H20" s="77"/>
      <c r="I20" s="77">
        <v>521</v>
      </c>
      <c r="J20" s="77"/>
      <c r="K20" s="77"/>
      <c r="L20" s="77"/>
      <c r="M20" s="77">
        <v>521</v>
      </c>
      <c r="N20" s="78"/>
    </row>
    <row r="21" spans="5:18" ht="16.149999999999999" customHeight="1" x14ac:dyDescent="0.25">
      <c r="E21" s="75">
        <v>331</v>
      </c>
      <c r="F21" s="76" t="s">
        <v>59</v>
      </c>
      <c r="G21" s="77"/>
      <c r="H21" s="77">
        <v>1187</v>
      </c>
      <c r="I21" s="77"/>
      <c r="J21" s="77">
        <v>1187</v>
      </c>
      <c r="K21" s="77"/>
      <c r="L21" s="77"/>
      <c r="M21" s="77"/>
      <c r="N21" s="78">
        <v>1187</v>
      </c>
    </row>
    <row r="22" spans="5:18" ht="16.149999999999999" customHeight="1" x14ac:dyDescent="0.25">
      <c r="E22" s="75">
        <v>401</v>
      </c>
      <c r="F22" s="76" t="s">
        <v>38</v>
      </c>
      <c r="G22" s="77"/>
      <c r="H22" s="77">
        <v>500</v>
      </c>
      <c r="I22" s="77"/>
      <c r="J22" s="77">
        <v>500</v>
      </c>
      <c r="K22" s="77"/>
      <c r="L22" s="77">
        <v>500</v>
      </c>
      <c r="M22" s="77"/>
      <c r="N22" s="78"/>
    </row>
    <row r="23" spans="5:18" x14ac:dyDescent="0.25">
      <c r="E23" s="75">
        <v>416</v>
      </c>
      <c r="F23" s="76" t="s">
        <v>39</v>
      </c>
      <c r="G23" s="77"/>
      <c r="H23" s="77">
        <v>12</v>
      </c>
      <c r="I23" s="77"/>
      <c r="J23" s="77">
        <v>12</v>
      </c>
      <c r="K23" s="77"/>
      <c r="L23" s="77">
        <v>12</v>
      </c>
      <c r="M23" s="77"/>
      <c r="N23" s="78"/>
    </row>
    <row r="24" spans="5:18" ht="16.149999999999999" customHeight="1" x14ac:dyDescent="0.25">
      <c r="E24" s="75">
        <v>420</v>
      </c>
      <c r="F24" s="76" t="s">
        <v>85</v>
      </c>
      <c r="G24" s="77"/>
      <c r="H24" s="77">
        <v>9</v>
      </c>
      <c r="I24" s="77"/>
      <c r="J24" s="77">
        <v>9</v>
      </c>
      <c r="K24" s="77"/>
      <c r="L24" s="77">
        <v>9</v>
      </c>
      <c r="M24" s="77"/>
      <c r="N24" s="78"/>
    </row>
    <row r="25" spans="5:18" x14ac:dyDescent="0.25">
      <c r="E25" s="75">
        <v>501</v>
      </c>
      <c r="F25" s="76" t="s">
        <v>40</v>
      </c>
      <c r="G25" s="77">
        <v>542</v>
      </c>
      <c r="H25" s="77"/>
      <c r="I25" s="77">
        <v>542</v>
      </c>
      <c r="J25" s="77"/>
      <c r="K25" s="77">
        <v>542</v>
      </c>
      <c r="L25" s="77"/>
      <c r="M25" s="77"/>
      <c r="N25" s="78"/>
    </row>
    <row r="26" spans="5:18" ht="16.149999999999999" customHeight="1" x14ac:dyDescent="0.25">
      <c r="E26" s="75">
        <v>502</v>
      </c>
      <c r="F26" s="76" t="s">
        <v>117</v>
      </c>
      <c r="G26" s="77">
        <v>49</v>
      </c>
      <c r="H26" s="77"/>
      <c r="I26" s="77">
        <v>49</v>
      </c>
      <c r="J26" s="77"/>
      <c r="K26" s="77">
        <v>49</v>
      </c>
      <c r="L26" s="77"/>
      <c r="M26" s="77"/>
      <c r="N26" s="78"/>
    </row>
    <row r="27" spans="5:18" x14ac:dyDescent="0.25">
      <c r="E27" s="75">
        <v>505</v>
      </c>
      <c r="F27" s="76" t="s">
        <v>111</v>
      </c>
      <c r="G27" s="77">
        <v>580</v>
      </c>
      <c r="H27" s="77"/>
      <c r="I27" s="77">
        <v>580</v>
      </c>
      <c r="J27" s="77"/>
      <c r="K27" s="77">
        <v>580</v>
      </c>
      <c r="L27" s="77"/>
      <c r="M27" s="77"/>
      <c r="N27" s="78"/>
    </row>
    <row r="28" spans="5:18" ht="16.149999999999999" customHeight="1" x14ac:dyDescent="0.25">
      <c r="E28" s="75">
        <v>506</v>
      </c>
      <c r="F28" s="76" t="s">
        <v>47</v>
      </c>
      <c r="G28" s="77">
        <v>16</v>
      </c>
      <c r="H28" s="77"/>
      <c r="I28" s="77">
        <v>16</v>
      </c>
      <c r="J28" s="77"/>
      <c r="K28" s="77">
        <v>16</v>
      </c>
      <c r="L28" s="77"/>
      <c r="M28" s="77"/>
      <c r="N28" s="78"/>
      <c r="P28" s="14"/>
    </row>
    <row r="29" spans="5:18" ht="16.149999999999999" customHeight="1" x14ac:dyDescent="0.25">
      <c r="E29" s="79">
        <v>999</v>
      </c>
      <c r="F29" s="69" t="s">
        <v>64</v>
      </c>
      <c r="G29" s="48"/>
      <c r="H29" s="48"/>
      <c r="I29" s="48"/>
      <c r="J29" s="48"/>
      <c r="K29" s="48"/>
      <c r="L29" s="48">
        <v>666</v>
      </c>
      <c r="M29" s="48">
        <v>666</v>
      </c>
      <c r="N29" s="56"/>
      <c r="P29" s="14"/>
    </row>
    <row r="30" spans="5:18" ht="3" customHeight="1" x14ac:dyDescent="0.25">
      <c r="E30" s="82"/>
      <c r="F30" s="83"/>
      <c r="G30" s="48"/>
      <c r="H30" s="48"/>
      <c r="I30" s="48"/>
      <c r="J30" s="48"/>
      <c r="K30" s="48"/>
      <c r="L30" s="48"/>
      <c r="M30" s="48"/>
      <c r="N30" s="56"/>
      <c r="R30" s="14"/>
    </row>
    <row r="31" spans="5:18" ht="16.149999999999999" customHeight="1" thickBot="1" x14ac:dyDescent="0.3">
      <c r="E31" s="129" t="s">
        <v>33</v>
      </c>
      <c r="F31" s="130"/>
      <c r="G31" s="61">
        <f>SUM(G8:G29)</f>
        <v>93223</v>
      </c>
      <c r="H31" s="61">
        <f>SUM(H8:H29)</f>
        <v>93223</v>
      </c>
      <c r="I31" s="61">
        <f>SUM(I8:I29)</f>
        <v>88547</v>
      </c>
      <c r="J31" s="61">
        <f>SUM(J8:J29)</f>
        <v>88547</v>
      </c>
      <c r="K31" s="61">
        <f>SUM(K8:K29)</f>
        <v>1187</v>
      </c>
      <c r="L31" s="61">
        <f>SUM(L8:L29)</f>
        <v>1187</v>
      </c>
      <c r="M31" s="61">
        <f>SUM(M8:M29)</f>
        <v>88026</v>
      </c>
      <c r="N31" s="62">
        <f>SUM(N8:N29)</f>
        <v>88026</v>
      </c>
    </row>
    <row r="32" spans="5:18" ht="3" customHeight="1" thickTop="1" thickBot="1" x14ac:dyDescent="0.3">
      <c r="E32" s="89"/>
      <c r="F32" s="90"/>
      <c r="G32" s="63"/>
      <c r="H32" s="63"/>
      <c r="I32" s="63"/>
      <c r="J32" s="63"/>
      <c r="K32" s="63"/>
      <c r="L32" s="63"/>
      <c r="M32" s="63"/>
      <c r="N32" s="64"/>
    </row>
    <row r="33" spans="5:17" ht="16.149999999999999" customHeight="1" thickTop="1" x14ac:dyDescent="0.25"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5:17" x14ac:dyDescent="0.25"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5:17" ht="16.149999999999999" customHeight="1" x14ac:dyDescent="0.25">
      <c r="E35" s="3"/>
      <c r="F35" s="3"/>
      <c r="G35" s="3"/>
      <c r="H35" s="3"/>
      <c r="I35" s="3"/>
      <c r="J35" s="3"/>
      <c r="K35" s="3"/>
      <c r="L35" s="3"/>
      <c r="M35" s="3"/>
      <c r="N35" s="3"/>
      <c r="Q35" s="14"/>
    </row>
    <row r="36" spans="5:17" ht="16.149999999999999" customHeight="1" x14ac:dyDescent="0.25">
      <c r="E36" s="3"/>
      <c r="F36" s="3"/>
      <c r="G36" s="3"/>
      <c r="H36" s="3"/>
      <c r="I36" s="3"/>
      <c r="J36" s="3"/>
      <c r="K36" s="3"/>
      <c r="L36" s="3"/>
      <c r="M36" s="3"/>
      <c r="N36" s="3"/>
      <c r="Q36" s="14"/>
    </row>
    <row r="37" spans="5:17" ht="16.149999999999999" customHeight="1" x14ac:dyDescent="0.25"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5:17" ht="16.149999999999999" customHeight="1" x14ac:dyDescent="0.25"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5:17" ht="16.149999999999999" customHeight="1" x14ac:dyDescent="0.25"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5:17" ht="16.149999999999999" customHeight="1" x14ac:dyDescent="0.25"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5:17" x14ac:dyDescent="0.25"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5:17" x14ac:dyDescent="0.25"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5:17" x14ac:dyDescent="0.25"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5:17" x14ac:dyDescent="0.25"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5:17" x14ac:dyDescent="0.25"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5:17" ht="16.149999999999999" customHeight="1" x14ac:dyDescent="0.25"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5:17" x14ac:dyDescent="0.25"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5:17" ht="16.149999999999999" customHeight="1" x14ac:dyDescent="0.25">
      <c r="E48" s="3"/>
      <c r="F48" s="3"/>
      <c r="G48" s="3"/>
      <c r="H48" s="3"/>
      <c r="I48" s="3"/>
      <c r="J48" s="3"/>
      <c r="K48" s="3"/>
      <c r="L48" s="3"/>
      <c r="M48" s="3"/>
      <c r="N48" s="3"/>
    </row>
  </sheetData>
  <sortState ref="E8:N28">
    <sortCondition ref="E8"/>
  </sortState>
  <mergeCells count="7">
    <mergeCell ref="E31:F31"/>
    <mergeCell ref="M5:N5"/>
    <mergeCell ref="K5:L5"/>
    <mergeCell ref="G5:H5"/>
    <mergeCell ref="F5:F6"/>
    <mergeCell ref="E5:E6"/>
    <mergeCell ref="I5:J5"/>
  </mergeCells>
  <phoneticPr fontId="1" type="noConversion"/>
  <conditionalFormatting sqref="G7:N7 G49:N1048576">
    <cfRule type="cellIs" dxfId="5" priority="19" operator="equal">
      <formula>0</formula>
    </cfRule>
    <cfRule type="cellIs" dxfId="4" priority="20" operator="equal">
      <formula>0</formula>
    </cfRule>
  </conditionalFormatting>
  <conditionalFormatting sqref="G7:N7 G49:N1048576">
    <cfRule type="cellIs" dxfId="3" priority="18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刷新工作底稿">
                <anchor moveWithCells="1" sizeWithCells="1">
                  <from>
                    <xdr:col>14</xdr:col>
                    <xdr:colOff>171450</xdr:colOff>
                    <xdr:row>3</xdr:row>
                    <xdr:rowOff>200025</xdr:rowOff>
                  </from>
                  <to>
                    <xdr:col>16</xdr:col>
                    <xdr:colOff>180975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E1:P49"/>
  <sheetViews>
    <sheetView zoomScale="80" zoomScaleNormal="80" workbookViewId="0">
      <pane ySplit="7" topLeftCell="A8" activePane="bottomLeft" state="frozen"/>
      <selection activeCell="P21" sqref="P21"/>
      <selection pane="bottomLeft" activeCell="P12" sqref="P12"/>
    </sheetView>
  </sheetViews>
  <sheetFormatPr defaultColWidth="8.875" defaultRowHeight="15.75" x14ac:dyDescent="0.25"/>
  <cols>
    <col min="1" max="1" width="3.375" style="3" customWidth="1"/>
    <col min="2" max="3" width="0" style="3" hidden="1" customWidth="1"/>
    <col min="4" max="4" width="3.375" style="3" customWidth="1"/>
    <col min="5" max="5" width="10.5" style="2" bestFit="1" customWidth="1"/>
    <col min="6" max="6" width="20.25" style="55" bestFit="1" customWidth="1"/>
    <col min="7" max="9" width="11.125" style="37" customWidth="1"/>
    <col min="10" max="10" width="12.25" style="37" customWidth="1"/>
    <col min="11" max="14" width="11.125" style="37" customWidth="1"/>
    <col min="15" max="15" width="8.875" style="3"/>
    <col min="16" max="16" width="10.875" style="3" bestFit="1" customWidth="1"/>
    <col min="17" max="16384" width="8.875" style="3"/>
  </cols>
  <sheetData>
    <row r="1" spans="5:16" x14ac:dyDescent="0.25">
      <c r="F1" s="2"/>
      <c r="G1" s="4"/>
      <c r="H1" s="4"/>
      <c r="I1" s="4"/>
      <c r="J1" s="4"/>
      <c r="K1" s="4"/>
      <c r="L1" s="4"/>
      <c r="M1" s="4"/>
      <c r="N1" s="4"/>
    </row>
    <row r="2" spans="5:16" hidden="1" x14ac:dyDescent="0.25">
      <c r="F2" s="2"/>
      <c r="G2" s="4"/>
      <c r="H2" s="4"/>
      <c r="I2" s="4"/>
      <c r="J2" s="4"/>
      <c r="K2" s="4"/>
      <c r="L2" s="4"/>
      <c r="M2" s="4"/>
      <c r="N2" s="4"/>
    </row>
    <row r="3" spans="5:16" hidden="1" x14ac:dyDescent="0.25">
      <c r="F3" s="2"/>
      <c r="G3" s="4"/>
      <c r="H3" s="4"/>
      <c r="I3" s="4"/>
      <c r="J3" s="4"/>
      <c r="K3" s="4"/>
      <c r="L3" s="4"/>
      <c r="M3" s="4"/>
      <c r="N3" s="4"/>
    </row>
    <row r="4" spans="5:16" ht="16.5" thickBot="1" x14ac:dyDescent="0.3">
      <c r="F4" s="2"/>
      <c r="G4" s="4"/>
      <c r="H4" s="4"/>
      <c r="I4" s="4"/>
      <c r="J4" s="4"/>
      <c r="K4" s="4"/>
      <c r="L4" s="4"/>
      <c r="M4" s="4"/>
      <c r="N4" s="4"/>
    </row>
    <row r="5" spans="5:16" ht="16.5" thickTop="1" x14ac:dyDescent="0.25">
      <c r="E5" s="107" t="s">
        <v>0</v>
      </c>
      <c r="F5" s="124" t="s">
        <v>1</v>
      </c>
      <c r="G5" s="105" t="s">
        <v>31</v>
      </c>
      <c r="H5" s="105"/>
      <c r="I5" s="105" t="s">
        <v>32</v>
      </c>
      <c r="J5" s="105"/>
      <c r="K5" s="105" t="s">
        <v>27</v>
      </c>
      <c r="L5" s="105"/>
      <c r="M5" s="105" t="s">
        <v>28</v>
      </c>
      <c r="N5" s="106"/>
    </row>
    <row r="6" spans="5:16" x14ac:dyDescent="0.25">
      <c r="E6" s="111"/>
      <c r="F6" s="125"/>
      <c r="G6" s="57" t="s">
        <v>29</v>
      </c>
      <c r="H6" s="57" t="s">
        <v>30</v>
      </c>
      <c r="I6" s="57" t="s">
        <v>29</v>
      </c>
      <c r="J6" s="57" t="s">
        <v>30</v>
      </c>
      <c r="K6" s="57" t="s">
        <v>29</v>
      </c>
      <c r="L6" s="57" t="s">
        <v>30</v>
      </c>
      <c r="M6" s="57" t="s">
        <v>29</v>
      </c>
      <c r="N6" s="58" t="s">
        <v>30</v>
      </c>
    </row>
    <row r="7" spans="5:16" hidden="1" x14ac:dyDescent="0.25"/>
    <row r="8" spans="5:16" x14ac:dyDescent="0.25">
      <c r="E8" s="71">
        <v>101</v>
      </c>
      <c r="F8" s="72" t="s">
        <v>34</v>
      </c>
      <c r="G8" s="73">
        <v>1887</v>
      </c>
      <c r="H8" s="73">
        <v>1399</v>
      </c>
      <c r="I8" s="73">
        <v>488</v>
      </c>
      <c r="J8" s="73"/>
      <c r="K8" s="73"/>
      <c r="L8" s="73"/>
      <c r="M8" s="73">
        <v>488</v>
      </c>
      <c r="N8" s="74"/>
    </row>
    <row r="9" spans="5:16" ht="16.149999999999999" customHeight="1" x14ac:dyDescent="0.25">
      <c r="E9" s="75">
        <v>102</v>
      </c>
      <c r="F9" s="76" t="s">
        <v>35</v>
      </c>
      <c r="G9" s="77">
        <v>245</v>
      </c>
      <c r="H9" s="77"/>
      <c r="I9" s="77">
        <v>245</v>
      </c>
      <c r="J9" s="77"/>
      <c r="K9" s="77"/>
      <c r="L9" s="77"/>
      <c r="M9" s="77">
        <v>245</v>
      </c>
      <c r="N9" s="78"/>
    </row>
    <row r="10" spans="5:16" x14ac:dyDescent="0.25">
      <c r="E10" s="75">
        <v>103</v>
      </c>
      <c r="F10" s="76" t="s">
        <v>66</v>
      </c>
      <c r="G10" s="77">
        <v>2159</v>
      </c>
      <c r="H10" s="77">
        <v>1000</v>
      </c>
      <c r="I10" s="77">
        <v>1159</v>
      </c>
      <c r="J10" s="77"/>
      <c r="K10" s="77"/>
      <c r="L10" s="77"/>
      <c r="M10" s="77">
        <v>1159</v>
      </c>
      <c r="N10" s="78"/>
    </row>
    <row r="11" spans="5:16" ht="16.149999999999999" customHeight="1" x14ac:dyDescent="0.25">
      <c r="E11" s="75">
        <v>107</v>
      </c>
      <c r="F11" s="76" t="s">
        <v>67</v>
      </c>
      <c r="G11" s="77">
        <v>59049</v>
      </c>
      <c r="H11" s="77"/>
      <c r="I11" s="77">
        <v>59049</v>
      </c>
      <c r="J11" s="77"/>
      <c r="K11" s="77"/>
      <c r="L11" s="77"/>
      <c r="M11" s="77">
        <v>59049</v>
      </c>
      <c r="N11" s="78"/>
      <c r="P11" s="3">
        <f>M11*(1+0.2/100)^3</f>
        <v>59404.003060391995</v>
      </c>
    </row>
    <row r="12" spans="5:16" x14ac:dyDescent="0.25">
      <c r="E12" s="75">
        <v>110</v>
      </c>
      <c r="F12" s="76" t="s">
        <v>69</v>
      </c>
      <c r="G12" s="77">
        <v>192</v>
      </c>
      <c r="H12" s="77">
        <v>48</v>
      </c>
      <c r="I12" s="77">
        <v>144</v>
      </c>
      <c r="J12" s="77"/>
      <c r="K12" s="77"/>
      <c r="L12" s="77"/>
      <c r="M12" s="77">
        <v>144</v>
      </c>
      <c r="N12" s="78"/>
      <c r="P12" s="14"/>
    </row>
    <row r="13" spans="5:16" ht="16.149999999999999" customHeight="1" x14ac:dyDescent="0.25">
      <c r="E13" s="75">
        <v>111</v>
      </c>
      <c r="F13" s="76" t="s">
        <v>71</v>
      </c>
      <c r="G13" s="77">
        <v>2146</v>
      </c>
      <c r="H13" s="77">
        <v>1160</v>
      </c>
      <c r="I13" s="77">
        <v>986</v>
      </c>
      <c r="J13" s="77"/>
      <c r="K13" s="77"/>
      <c r="L13" s="77"/>
      <c r="M13" s="77">
        <v>986</v>
      </c>
      <c r="N13" s="78"/>
    </row>
    <row r="14" spans="5:16" x14ac:dyDescent="0.25">
      <c r="E14" s="75">
        <v>112</v>
      </c>
      <c r="F14" s="76" t="s">
        <v>73</v>
      </c>
      <c r="G14" s="77">
        <v>720</v>
      </c>
      <c r="H14" s="77"/>
      <c r="I14" s="77">
        <v>720</v>
      </c>
      <c r="J14" s="77"/>
      <c r="K14" s="77"/>
      <c r="L14" s="77"/>
      <c r="M14" s="77">
        <v>720</v>
      </c>
      <c r="N14" s="78"/>
    </row>
    <row r="15" spans="5:16" x14ac:dyDescent="0.25">
      <c r="E15" s="75">
        <v>116</v>
      </c>
      <c r="F15" s="76" t="s">
        <v>36</v>
      </c>
      <c r="G15" s="77">
        <v>3800</v>
      </c>
      <c r="H15" s="77">
        <v>2800</v>
      </c>
      <c r="I15" s="77">
        <v>1000</v>
      </c>
      <c r="J15" s="77"/>
      <c r="K15" s="77"/>
      <c r="L15" s="77"/>
      <c r="M15" s="77">
        <v>1000</v>
      </c>
      <c r="N15" s="78"/>
      <c r="P15" s="14"/>
    </row>
    <row r="16" spans="5:16" x14ac:dyDescent="0.25">
      <c r="E16" s="75">
        <v>121</v>
      </c>
      <c r="F16" s="76" t="s">
        <v>68</v>
      </c>
      <c r="G16" s="77"/>
      <c r="H16" s="77"/>
      <c r="I16" s="77"/>
      <c r="J16" s="77"/>
      <c r="K16" s="77"/>
      <c r="L16" s="77"/>
      <c r="M16" s="77"/>
      <c r="N16" s="78"/>
      <c r="P16" s="14"/>
    </row>
    <row r="17" spans="5:16" x14ac:dyDescent="0.25">
      <c r="E17" s="75">
        <v>124</v>
      </c>
      <c r="F17" s="76" t="s">
        <v>75</v>
      </c>
      <c r="G17" s="77">
        <v>4715</v>
      </c>
      <c r="H17" s="77">
        <v>2828</v>
      </c>
      <c r="I17" s="77">
        <v>1887</v>
      </c>
      <c r="J17" s="77"/>
      <c r="K17" s="77"/>
      <c r="L17" s="77"/>
      <c r="M17" s="77">
        <v>1887</v>
      </c>
      <c r="N17" s="78"/>
      <c r="P17" s="14"/>
    </row>
    <row r="18" spans="5:16" x14ac:dyDescent="0.25">
      <c r="E18" s="75">
        <v>125</v>
      </c>
      <c r="F18" s="76" t="s">
        <v>76</v>
      </c>
      <c r="G18" s="77">
        <v>1379</v>
      </c>
      <c r="H18" s="77"/>
      <c r="I18" s="77">
        <v>1379</v>
      </c>
      <c r="J18" s="77"/>
      <c r="K18" s="77"/>
      <c r="L18" s="77"/>
      <c r="M18" s="77">
        <v>1379</v>
      </c>
      <c r="N18" s="78"/>
    </row>
    <row r="19" spans="5:16" x14ac:dyDescent="0.25">
      <c r="E19" s="75">
        <v>131</v>
      </c>
      <c r="F19" s="76" t="s">
        <v>79</v>
      </c>
      <c r="G19" s="77">
        <v>14016</v>
      </c>
      <c r="H19" s="77">
        <v>731</v>
      </c>
      <c r="I19" s="77">
        <v>13285</v>
      </c>
      <c r="J19" s="77"/>
      <c r="K19" s="77"/>
      <c r="L19" s="77"/>
      <c r="M19" s="77">
        <v>13285</v>
      </c>
      <c r="N19" s="78"/>
    </row>
    <row r="20" spans="5:16" x14ac:dyDescent="0.25">
      <c r="E20" s="75">
        <v>201</v>
      </c>
      <c r="F20" s="76" t="s">
        <v>37</v>
      </c>
      <c r="G20" s="77">
        <v>660</v>
      </c>
      <c r="H20" s="77">
        <v>660</v>
      </c>
      <c r="I20" s="77"/>
      <c r="J20" s="77"/>
      <c r="K20" s="77"/>
      <c r="L20" s="77"/>
      <c r="M20" s="77"/>
      <c r="N20" s="78"/>
    </row>
    <row r="21" spans="5:16" x14ac:dyDescent="0.25">
      <c r="E21" s="75">
        <v>301</v>
      </c>
      <c r="F21" s="76" t="s">
        <v>60</v>
      </c>
      <c r="G21" s="77">
        <v>1427</v>
      </c>
      <c r="H21" s="77">
        <v>2262</v>
      </c>
      <c r="I21" s="77"/>
      <c r="J21" s="77">
        <v>835</v>
      </c>
      <c r="K21" s="77"/>
      <c r="L21" s="77"/>
      <c r="M21" s="77"/>
      <c r="N21" s="78">
        <v>835</v>
      </c>
    </row>
    <row r="22" spans="5:16" x14ac:dyDescent="0.25">
      <c r="E22" s="75">
        <v>304</v>
      </c>
      <c r="F22" s="76" t="s">
        <v>56</v>
      </c>
      <c r="G22" s="77">
        <v>1208</v>
      </c>
      <c r="H22" s="77">
        <v>2338</v>
      </c>
      <c r="I22" s="77"/>
      <c r="J22" s="77">
        <v>1130</v>
      </c>
      <c r="K22" s="77"/>
      <c r="L22" s="77"/>
      <c r="M22" s="77"/>
      <c r="N22" s="78">
        <v>1130</v>
      </c>
    </row>
    <row r="23" spans="5:16" x14ac:dyDescent="0.25">
      <c r="E23" s="75">
        <v>306</v>
      </c>
      <c r="F23" s="76" t="s">
        <v>83</v>
      </c>
      <c r="G23" s="77">
        <v>2800</v>
      </c>
      <c r="H23" s="77">
        <v>2810</v>
      </c>
      <c r="I23" s="77"/>
      <c r="J23" s="77">
        <v>10</v>
      </c>
      <c r="K23" s="77"/>
      <c r="L23" s="77"/>
      <c r="M23" s="77"/>
      <c r="N23" s="78">
        <v>10</v>
      </c>
    </row>
    <row r="24" spans="5:16" ht="16.149999999999999" customHeight="1" x14ac:dyDescent="0.25">
      <c r="E24" s="75">
        <v>313</v>
      </c>
      <c r="F24" s="76" t="s">
        <v>78</v>
      </c>
      <c r="G24" s="77"/>
      <c r="H24" s="77">
        <v>6363</v>
      </c>
      <c r="I24" s="77"/>
      <c r="J24" s="77">
        <v>6363</v>
      </c>
      <c r="K24" s="77"/>
      <c r="L24" s="77"/>
      <c r="M24" s="77"/>
      <c r="N24" s="78">
        <v>6363</v>
      </c>
    </row>
    <row r="25" spans="5:16" x14ac:dyDescent="0.25">
      <c r="E25" s="75">
        <v>316</v>
      </c>
      <c r="F25" s="76" t="s">
        <v>54</v>
      </c>
      <c r="G25" s="77">
        <v>1000</v>
      </c>
      <c r="H25" s="77">
        <v>61208</v>
      </c>
      <c r="I25" s="77"/>
      <c r="J25" s="77">
        <v>60208</v>
      </c>
      <c r="K25" s="77"/>
      <c r="L25" s="77"/>
      <c r="M25" s="77"/>
      <c r="N25" s="78">
        <v>60208</v>
      </c>
    </row>
    <row r="26" spans="5:16" ht="16.149999999999999" customHeight="1" x14ac:dyDescent="0.25">
      <c r="E26" s="75">
        <v>321</v>
      </c>
      <c r="F26" s="76" t="s">
        <v>86</v>
      </c>
      <c r="G26" s="77">
        <v>2800</v>
      </c>
      <c r="H26" s="77">
        <v>14016</v>
      </c>
      <c r="I26" s="77"/>
      <c r="J26" s="77">
        <v>11216</v>
      </c>
      <c r="K26" s="77"/>
      <c r="L26" s="77"/>
      <c r="M26" s="77"/>
      <c r="N26" s="78">
        <v>11216</v>
      </c>
    </row>
    <row r="27" spans="5:16" x14ac:dyDescent="0.25">
      <c r="E27" s="75">
        <v>330</v>
      </c>
      <c r="F27" s="76" t="s">
        <v>58</v>
      </c>
      <c r="G27" s="77">
        <v>1780</v>
      </c>
      <c r="H27" s="77"/>
      <c r="I27" s="77">
        <v>1780</v>
      </c>
      <c r="J27" s="77"/>
      <c r="K27" s="77"/>
      <c r="L27" s="77"/>
      <c r="M27" s="77">
        <v>1780</v>
      </c>
      <c r="N27" s="78"/>
    </row>
    <row r="28" spans="5:16" ht="16.149999999999999" customHeight="1" x14ac:dyDescent="0.25">
      <c r="E28" s="75">
        <v>331</v>
      </c>
      <c r="F28" s="76" t="s">
        <v>59</v>
      </c>
      <c r="G28" s="77"/>
      <c r="H28" s="77">
        <v>2125</v>
      </c>
      <c r="I28" s="77"/>
      <c r="J28" s="77">
        <v>2125</v>
      </c>
      <c r="K28" s="77"/>
      <c r="L28" s="77"/>
      <c r="M28" s="77"/>
      <c r="N28" s="78">
        <v>2125</v>
      </c>
    </row>
    <row r="29" spans="5:16" ht="16.149999999999999" customHeight="1" x14ac:dyDescent="0.25">
      <c r="E29" s="75">
        <v>401</v>
      </c>
      <c r="F29" s="76" t="s">
        <v>38</v>
      </c>
      <c r="G29" s="77"/>
      <c r="H29" s="77">
        <v>1200</v>
      </c>
      <c r="I29" s="77"/>
      <c r="J29" s="77">
        <v>1200</v>
      </c>
      <c r="K29" s="77"/>
      <c r="L29" s="77">
        <v>1200</v>
      </c>
      <c r="M29" s="77"/>
      <c r="N29" s="78"/>
    </row>
    <row r="30" spans="5:16" ht="16.149999999999999" customHeight="1" x14ac:dyDescent="0.25">
      <c r="E30" s="75">
        <v>402</v>
      </c>
      <c r="F30" s="76" t="s">
        <v>114</v>
      </c>
      <c r="G30" s="77"/>
      <c r="H30" s="77"/>
      <c r="I30" s="77"/>
      <c r="J30" s="77"/>
      <c r="K30" s="77"/>
      <c r="L30" s="77"/>
      <c r="M30" s="77"/>
      <c r="N30" s="78"/>
    </row>
    <row r="31" spans="5:16" ht="16.149999999999999" customHeight="1" x14ac:dyDescent="0.25">
      <c r="E31" s="75">
        <v>405</v>
      </c>
      <c r="F31" s="76" t="s">
        <v>115</v>
      </c>
      <c r="G31" s="77"/>
      <c r="H31" s="77">
        <v>580</v>
      </c>
      <c r="I31" s="77"/>
      <c r="J31" s="77">
        <v>580</v>
      </c>
      <c r="K31" s="77"/>
      <c r="L31" s="77">
        <v>580</v>
      </c>
      <c r="M31" s="77"/>
      <c r="N31" s="78"/>
    </row>
    <row r="32" spans="5:16" ht="16.149999999999999" customHeight="1" x14ac:dyDescent="0.25">
      <c r="E32" s="75">
        <v>409</v>
      </c>
      <c r="F32" s="76" t="s">
        <v>62</v>
      </c>
      <c r="G32" s="77"/>
      <c r="H32" s="77"/>
      <c r="I32" s="77"/>
      <c r="J32" s="77"/>
      <c r="K32" s="77"/>
      <c r="L32" s="77"/>
      <c r="M32" s="77"/>
      <c r="N32" s="78"/>
    </row>
    <row r="33" spans="5:14" ht="16.149999999999999" customHeight="1" x14ac:dyDescent="0.25">
      <c r="E33" s="75">
        <v>413</v>
      </c>
      <c r="F33" s="76" t="s">
        <v>116</v>
      </c>
      <c r="G33" s="77"/>
      <c r="H33" s="77"/>
      <c r="I33" s="77"/>
      <c r="J33" s="77"/>
      <c r="K33" s="77"/>
      <c r="L33" s="77"/>
      <c r="M33" s="77"/>
      <c r="N33" s="78"/>
    </row>
    <row r="34" spans="5:14" x14ac:dyDescent="0.25">
      <c r="E34" s="75">
        <v>416</v>
      </c>
      <c r="F34" s="76" t="s">
        <v>39</v>
      </c>
      <c r="G34" s="77"/>
      <c r="H34" s="77"/>
      <c r="I34" s="77"/>
      <c r="J34" s="77"/>
      <c r="K34" s="77"/>
      <c r="L34" s="77"/>
      <c r="M34" s="77"/>
      <c r="N34" s="78"/>
    </row>
    <row r="35" spans="5:14" ht="16.149999999999999" customHeight="1" x14ac:dyDescent="0.25">
      <c r="E35" s="75">
        <v>420</v>
      </c>
      <c r="F35" s="76" t="s">
        <v>85</v>
      </c>
      <c r="G35" s="77"/>
      <c r="H35" s="77">
        <v>580</v>
      </c>
      <c r="I35" s="77"/>
      <c r="J35" s="77">
        <v>580</v>
      </c>
      <c r="K35" s="77"/>
      <c r="L35" s="77">
        <v>580</v>
      </c>
      <c r="M35" s="77"/>
      <c r="N35" s="78"/>
    </row>
    <row r="36" spans="5:14" ht="16.149999999999999" customHeight="1" x14ac:dyDescent="0.25">
      <c r="E36" s="75">
        <v>501</v>
      </c>
      <c r="F36" s="76" t="s">
        <v>40</v>
      </c>
      <c r="G36" s="77">
        <v>685</v>
      </c>
      <c r="H36" s="77"/>
      <c r="I36" s="77">
        <v>685</v>
      </c>
      <c r="J36" s="77"/>
      <c r="K36" s="77">
        <v>685</v>
      </c>
      <c r="L36" s="77"/>
      <c r="M36" s="77"/>
      <c r="N36" s="78"/>
    </row>
    <row r="37" spans="5:14" ht="16.149999999999999" customHeight="1" x14ac:dyDescent="0.25">
      <c r="E37" s="75">
        <v>502</v>
      </c>
      <c r="F37" s="76" t="s">
        <v>52</v>
      </c>
      <c r="G37" s="77"/>
      <c r="H37" s="77"/>
      <c r="I37" s="77"/>
      <c r="J37" s="77"/>
      <c r="K37" s="77"/>
      <c r="L37" s="77"/>
      <c r="M37" s="77"/>
      <c r="N37" s="78"/>
    </row>
    <row r="38" spans="5:14" ht="16.149999999999999" customHeight="1" x14ac:dyDescent="0.25">
      <c r="E38" s="75">
        <v>505</v>
      </c>
      <c r="F38" s="76" t="s">
        <v>111</v>
      </c>
      <c r="G38" s="77">
        <v>1160</v>
      </c>
      <c r="H38" s="77"/>
      <c r="I38" s="77">
        <v>1160</v>
      </c>
      <c r="J38" s="77"/>
      <c r="K38" s="77">
        <v>1160</v>
      </c>
      <c r="L38" s="77"/>
      <c r="M38" s="77"/>
      <c r="N38" s="78"/>
    </row>
    <row r="39" spans="5:14" ht="16.149999999999999" customHeight="1" x14ac:dyDescent="0.25">
      <c r="E39" s="75">
        <v>506</v>
      </c>
      <c r="F39" s="76" t="s">
        <v>47</v>
      </c>
      <c r="G39" s="77">
        <v>48</v>
      </c>
      <c r="H39" s="77"/>
      <c r="I39" s="77">
        <v>48</v>
      </c>
      <c r="J39" s="77"/>
      <c r="K39" s="77">
        <v>48</v>
      </c>
      <c r="L39" s="77"/>
      <c r="M39" s="77"/>
      <c r="N39" s="78"/>
    </row>
    <row r="40" spans="5:14" ht="16.149999999999999" customHeight="1" x14ac:dyDescent="0.25">
      <c r="E40" s="75">
        <v>510</v>
      </c>
      <c r="F40" s="76" t="s">
        <v>117</v>
      </c>
      <c r="G40" s="77">
        <v>53</v>
      </c>
      <c r="H40" s="77"/>
      <c r="I40" s="77">
        <v>53</v>
      </c>
      <c r="J40" s="77"/>
      <c r="K40" s="77">
        <v>53</v>
      </c>
      <c r="L40" s="77"/>
      <c r="M40" s="77"/>
      <c r="N40" s="78"/>
    </row>
    <row r="41" spans="5:14" x14ac:dyDescent="0.25">
      <c r="E41" s="75">
        <v>514</v>
      </c>
      <c r="F41" s="76" t="s">
        <v>41</v>
      </c>
      <c r="G41" s="77"/>
      <c r="H41" s="77"/>
      <c r="I41" s="77"/>
      <c r="J41" s="77"/>
      <c r="K41" s="77"/>
      <c r="L41" s="77"/>
      <c r="M41" s="77"/>
      <c r="N41" s="78"/>
    </row>
    <row r="42" spans="5:14" x14ac:dyDescent="0.25">
      <c r="E42" s="75">
        <v>518</v>
      </c>
      <c r="F42" s="76" t="s">
        <v>43</v>
      </c>
      <c r="G42" s="77"/>
      <c r="H42" s="77"/>
      <c r="I42" s="77"/>
      <c r="J42" s="77"/>
      <c r="K42" s="77"/>
      <c r="L42" s="77"/>
      <c r="M42" s="77"/>
      <c r="N42" s="78"/>
    </row>
    <row r="43" spans="5:14" x14ac:dyDescent="0.25">
      <c r="E43" s="75">
        <v>525</v>
      </c>
      <c r="F43" s="76" t="s">
        <v>42</v>
      </c>
      <c r="G43" s="77">
        <v>2</v>
      </c>
      <c r="H43" s="77"/>
      <c r="I43" s="77">
        <v>2</v>
      </c>
      <c r="J43" s="77"/>
      <c r="K43" s="77">
        <v>2</v>
      </c>
      <c r="L43" s="77"/>
      <c r="M43" s="77"/>
      <c r="N43" s="78"/>
    </row>
    <row r="44" spans="5:14" x14ac:dyDescent="0.25">
      <c r="E44" s="75">
        <v>530</v>
      </c>
      <c r="F44" s="76" t="s">
        <v>45</v>
      </c>
      <c r="G44" s="77">
        <v>177</v>
      </c>
      <c r="H44" s="77"/>
      <c r="I44" s="77">
        <v>177</v>
      </c>
      <c r="J44" s="77"/>
      <c r="K44" s="77">
        <v>177</v>
      </c>
      <c r="L44" s="77"/>
      <c r="M44" s="77"/>
      <c r="N44" s="78"/>
    </row>
    <row r="45" spans="5:14" x14ac:dyDescent="0.25">
      <c r="E45" s="79">
        <v>999</v>
      </c>
      <c r="F45" s="69" t="s">
        <v>64</v>
      </c>
      <c r="G45" s="48"/>
      <c r="H45" s="48"/>
      <c r="I45" s="48"/>
      <c r="J45" s="48"/>
      <c r="K45" s="48">
        <v>235</v>
      </c>
      <c r="L45" s="48"/>
      <c r="M45" s="48"/>
      <c r="N45" s="56">
        <v>235</v>
      </c>
    </row>
    <row r="46" spans="5:14" ht="3" customHeight="1" x14ac:dyDescent="0.25">
      <c r="E46" s="82"/>
      <c r="F46" s="83"/>
      <c r="G46" s="48"/>
      <c r="H46" s="48"/>
      <c r="I46" s="48"/>
      <c r="J46" s="48"/>
      <c r="K46" s="48"/>
      <c r="L46" s="48"/>
      <c r="M46" s="48"/>
      <c r="N46" s="56"/>
    </row>
    <row r="47" spans="5:14" ht="16.5" thickBot="1" x14ac:dyDescent="0.3">
      <c r="E47" s="129" t="s">
        <v>33</v>
      </c>
      <c r="F47" s="130"/>
      <c r="G47" s="61">
        <f t="shared" ref="G47:N47" si="0">SUM(G8:G45)</f>
        <v>104108</v>
      </c>
      <c r="H47" s="61">
        <f t="shared" si="0"/>
        <v>104108</v>
      </c>
      <c r="I47" s="61">
        <f t="shared" si="0"/>
        <v>84247</v>
      </c>
      <c r="J47" s="61">
        <f t="shared" si="0"/>
        <v>84247</v>
      </c>
      <c r="K47" s="61">
        <f t="shared" si="0"/>
        <v>2360</v>
      </c>
      <c r="L47" s="61">
        <f t="shared" si="0"/>
        <v>2360</v>
      </c>
      <c r="M47" s="61">
        <f t="shared" si="0"/>
        <v>82122</v>
      </c>
      <c r="N47" s="62">
        <f t="shared" si="0"/>
        <v>82122</v>
      </c>
    </row>
    <row r="48" spans="5:14" ht="3" customHeight="1" thickTop="1" thickBot="1" x14ac:dyDescent="0.3">
      <c r="E48" s="89"/>
      <c r="F48" s="90"/>
      <c r="G48" s="63"/>
      <c r="H48" s="63"/>
      <c r="I48" s="63"/>
      <c r="J48" s="63"/>
      <c r="K48" s="63"/>
      <c r="L48" s="63"/>
      <c r="M48" s="63"/>
      <c r="N48" s="64"/>
    </row>
    <row r="49" ht="16.5" thickTop="1" x14ac:dyDescent="0.25"/>
  </sheetData>
  <mergeCells count="7">
    <mergeCell ref="K5:L5"/>
    <mergeCell ref="M5:N5"/>
    <mergeCell ref="E47:F47"/>
    <mergeCell ref="E5:E6"/>
    <mergeCell ref="F5:F6"/>
    <mergeCell ref="G5:H5"/>
    <mergeCell ref="I5:J5"/>
  </mergeCells>
  <phoneticPr fontId="1" type="noConversion"/>
  <conditionalFormatting sqref="G7:N7 G49:N1048576">
    <cfRule type="cellIs" dxfId="2" priority="2" operator="equal">
      <formula>0</formula>
    </cfRule>
    <cfRule type="cellIs" dxfId="1" priority="3" operator="equal">
      <formula>0</formula>
    </cfRule>
  </conditionalFormatting>
  <conditionalFormatting sqref="G7:N7 G49:N104857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1</vt:i4>
      </vt:variant>
    </vt:vector>
  </HeadingPairs>
  <TitlesOfParts>
    <vt:vector size="6" baseType="lpstr">
      <vt:lpstr>會計科目表</vt:lpstr>
      <vt:lpstr>日記簿</vt:lpstr>
      <vt:lpstr>分類帳</vt:lpstr>
      <vt:lpstr>工作底稿</vt:lpstr>
      <vt:lpstr>201609</vt:lpstr>
      <vt:lpstr>現有科目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2018-01-09T15:03:36Z</dcterms:modified>
</cp:coreProperties>
</file>